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5e0272421b46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 Portfolio" sheetId="1" r:id="R0a1f194823414603"/>
    <x:sheet xmlns:r="http://schemas.openxmlformats.org/officeDocument/2006/relationships" name="Case Study Briefs" sheetId="2" r:id="R9649c61ee9c9470e"/>
    <x:sheet xmlns:r="http://schemas.openxmlformats.org/officeDocument/2006/relationships" name="Assets &amp; Evidence" sheetId="3" r:id="R1d236728ad6a4b5d"/>
    <x:sheet xmlns:r="http://schemas.openxmlformats.org/officeDocument/2006/relationships" name="Website Map" sheetId="4" r:id="Rabd2c78a43714bc1"/>
    <x:sheet xmlns:r="http://schemas.openxmlformats.org/officeDocument/2006/relationships" name="Editorial &amp; Video" sheetId="5" r:id="R7c3b8e8c7282491c"/>
    <x:sheet xmlns:r="http://schemas.openxmlformats.org/officeDocument/2006/relationships" name="Source Archive" sheetId="6" r:id="R424ddfd14ffa4a00"/>
    <x:sheet xmlns:r="http://schemas.openxmlformats.org/officeDocument/2006/relationships" name="Lists &amp; Definitions" sheetId="7" r:id="R3ca4b6269519421d"/>
    <x:sheet xmlns:r="http://schemas.openxmlformats.org/officeDocument/2006/relationships" name="Dashboard" sheetId="8" r:id="R305657f3953c4c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12">
    <x:font>
      <x:sz val="11"/>
      <x:name val="Carlito"/>
    </x:font>
    <x:font>
      <x:b/>
      <x:sz val="18"/>
      <x:color rgb="FFFFFFFF"/>
      <x:name val="Carlito"/>
    </x:font>
    <x:font>
      <x:i/>
      <x:sz val="10"/>
      <x:color rgb="FF5A6472"/>
      <x:name val="Carlito"/>
    </x:font>
    <x:font>
      <x:b/>
      <x:sz val="10"/>
      <x:color rgb="FFFFFFFF"/>
      <x:name val="Carlito"/>
    </x:font>
    <x:font>
      <x:b/>
      <x:sz val="11"/>
      <x:name val="Carlito"/>
    </x:font>
    <x:font>
      <x:b/>
      <x:sz val="16"/>
      <x:color rgb="FF247A4D"/>
      <x:name val="Carlito"/>
    </x:font>
    <x:font>
      <x:b/>
      <x:sz val="11"/>
      <x:color rgb="FF1F4B99"/>
      <x:name val="Carlito"/>
    </x:font>
    <x:font>
      <x:sz val="10"/>
      <x:color rgb="FF15171C"/>
      <x:name val="Carlito"/>
    </x:font>
    <x:font>
      <x:b/>
      <x:sz val="11"/>
      <x:color rgb="FFFFFFFF"/>
      <x:name val="Carlito"/>
    </x:font>
    <x:font>
      <x:b/>
      <x:sz val="10"/>
      <x:color rgb="FF0F172A"/>
      <x:name val="Carlito"/>
    </x:font>
    <x:font>
      <x:b/>
      <x:sz val="10"/>
      <x:color rgb="FF1F2937"/>
      <x:name val="Carlito"/>
    </x:font>
    <x:font>
      <x:sz val="10"/>
      <x:color rgb="FF1F2937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5171C"/>
      </x:patternFill>
    </x:fill>
    <x:fill>
      <x:patternFill patternType="solid">
        <x:fgColor rgb="FFF6F8FB"/>
      </x:patternFill>
    </x:fill>
    <x:fill>
      <x:patternFill patternType="solid">
        <x:fgColor rgb="FF1F4B99"/>
      </x:patternFill>
    </x:fill>
    <x:fill>
      <x:patternFill patternType="solid">
        <x:fgColor rgb="FFEAF6EF"/>
      </x:patternFill>
    </x:fill>
    <x:fill>
      <x:patternFill patternType="solid">
        <x:fgColor rgb="FFEAF1FB"/>
      </x:patternFill>
    </x:fill>
    <x:fill>
      <x:patternFill patternType="solid">
        <x:fgColor rgb="FFFFF6E0"/>
      </x:patternFill>
    </x:fill>
    <x:fill>
      <x:patternFill patternType="solid">
        <x:fgColor rgb="FF0F172A"/>
      </x:patternFill>
    </x:fill>
    <x:fill>
      <x:patternFill patternType="solid">
        <x:fgColor rgb="FFE2E8F0"/>
      </x:patternFill>
    </x:fill>
    <x:fill>
      <x:patternFill patternType="solid">
        <x:fgColor rgb="FFFFFFFF"/>
      </x:patternFill>
    </x:fill>
  </x:fills>
  <x:borders count="56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bottom/>
    </x:border>
    <x:border>
      <x:bottom/>
    </x:border>
    <x:border>
      <x:right/>
      <x:bottom/>
    </x:border>
    <x:border>
      <x:left style="none"/>
      <x:right style="none"/>
      <x:top style="none"/>
    </x:border>
    <x:border>
      <x:left style="none"/>
      <x:right style="none"/>
      <x:top/>
    </x:border>
    <x:border>
      <x:left style="none"/>
      <x:right style="none"/>
      <x:top/>
    </x:border>
    <x:border>
      <x:left style="none"/>
      <x:right style="none"/>
    </x:border>
    <x:border>
      <x:left style="none"/>
      <x:right style="none"/>
      <x:bottom/>
    </x:border>
    <x:border>
      <x:left style="none"/>
      <x:right style="none"/>
      <x:bottom style="none"/>
    </x:border>
    <x:border>
      <x:left style="none"/>
      <x:right style="none"/>
      <x:top style="none"/>
    </x:border>
    <x:border>
      <x:left style="none"/>
      <x:right style="none"/>
      <x:top/>
    </x:border>
    <x:border>
      <x:left style="none"/>
      <x:right style="none"/>
      <x:top/>
    </x:border>
    <x:border>
      <x:left style="none"/>
      <x:right style="none"/>
    </x:border>
    <x:border>
      <x:left style="none"/>
      <x:right style="none"/>
      <x:bottom/>
    </x:border>
    <x:border>
      <x:left style="none"/>
      <x:right style="none"/>
      <x:bottom style="none"/>
    </x:border>
    <x:border>
      <x:left/>
      <x:right/>
      <x:top/>
    </x:border>
    <x:border>
      <x:left/>
      <x:right/>
      <x:top/>
    </x:border>
    <x:border>
      <x:left/>
      <x:right/>
      <x:top/>
    </x:border>
    <x:border>
      <x:left/>
      <x:right/>
    </x:border>
    <x:border>
      <x:left/>
      <x:right/>
      <x:bottom/>
    </x:border>
    <x:border>
      <x:left/>
      <x:right/>
      <x:bottom/>
    </x:border>
  </x:borders>
  <x:cellStyleXfs count="1">
    <x:xf numFmtId="0" fontId="0" fillId="0" borderId="0"/>
  </x:cellStyleXfs>
  <x:cellXfs count="3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200" fontId="0" fillId="0" borderId="3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8" xfId="0" applyNumberFormat="1" applyFont="1" applyFill="1" applyBorder="1" applyAlignment="1">
      <x:alignment vertical="top" wrapText="1"/>
    </x:xf>
    <x:xf numFmtId="200" fontId="0" fillId="0" borderId="1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0" fontId="0" fillId="0" borderId="16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8" xfId="0" applyNumberFormat="1" applyFont="1" applyFill="1" applyBorder="1" applyAlignment="1">
      <x:alignment horizontal="center" vertical="top" wrapText="1"/>
    </x:xf>
    <x:xf numFmtId="0" fontId="0" fillId="0" borderId="1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0" borderId="16" xfId="0" applyNumberFormat="1" applyFont="1" applyFill="1" applyBorder="1" applyAlignment="1">
      <x:alignment horizontal="center" vertical="top" wrapText="1"/>
    </x:xf>
    <x:xf numFmtId="0" fontId="4" fillId="0" borderId="3" xfId="0" applyNumberFormat="1" applyFont="1" applyFill="1" applyBorder="1" applyAlignment="1">
      <x:alignment horizontal="center" vertical="top" wrapText="1"/>
    </x:xf>
    <x:xf numFmtId="0" fontId="4" fillId="0" borderId="0" xfId="0" applyNumberFormat="1" applyFont="1" applyFill="1" applyBorder="1" applyAlignment="1">
      <x:alignment horizontal="center" vertical="top" wrapText="1"/>
    </x:xf>
    <x:xf numFmtId="0" fontId="4" fillId="0" borderId="8" xfId="0" applyNumberFormat="1" applyFont="1" applyFill="1" applyBorder="1" applyAlignment="1">
      <x:alignment horizontal="center" vertical="top" wrapText="1"/>
    </x:xf>
    <x:xf numFmtId="0" fontId="4" fillId="0" borderId="11" xfId="0" applyNumberFormat="1" applyFont="1" applyFill="1" applyBorder="1" applyAlignment="1">
      <x:alignment horizontal="center" vertical="top" wrapText="1"/>
    </x:xf>
    <x:xf numFmtId="0" fontId="4" fillId="0" borderId="1" xfId="0" applyNumberFormat="1" applyFont="1" applyFill="1" applyBorder="1" applyAlignment="1">
      <x:alignment horizontal="center" vertical="top" wrapText="1"/>
    </x:xf>
    <x:xf numFmtId="0" fontId="4" fillId="0" borderId="16" xfId="0" applyNumberFormat="1" applyFont="1" applyFill="1" applyBorder="1" applyAlignment="1">
      <x:alignment horizontal="center" vertical="top"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5" borderId="3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8" xfId="0" applyNumberFormat="1" applyFont="1" applyFill="1" applyBorder="1" applyAlignment="1">
      <x:alignment wrapText="1"/>
    </x:xf>
    <x:xf numFmtId="0" fontId="5" fillId="5" borderId="3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  <x:xf numFmtId="0" fontId="5" fillId="5" borderId="8" xfId="0" applyNumberFormat="1" applyFont="1" applyFill="1" applyBorder="1" applyAlignment="1">
      <x:alignment wrapText="1"/>
    </x:xf>
    <x:xf numFmtId="0" fontId="5" fillId="5" borderId="3" xfId="0" applyNumberFormat="1" applyFont="1" applyFill="1" applyBorder="1" applyAlignment="1">
      <x:alignment horizontal="center" wrapText="1"/>
    </x:xf>
    <x:xf numFmtId="0" fontId="5" fillId="5" borderId="0" xfId="0" applyNumberFormat="1" applyFont="1" applyFill="1" applyBorder="1" applyAlignment="1">
      <x:alignment horizontal="center" wrapText="1"/>
    </x:xf>
    <x:xf numFmtId="0" fontId="5" fillId="5" borderId="8" xfId="0" applyNumberFormat="1" applyFont="1" applyFill="1" applyBorder="1" applyAlignment="1">
      <x:alignment horizontal="center" wrapText="1"/>
    </x:xf>
    <x:xf numFmtId="0" fontId="5" fillId="5" borderId="3" xfId="0" applyNumberFormat="1" applyFont="1" applyFill="1" applyBorder="1" applyAlignment="1">
      <x:alignment horizontal="center" vertical="center" wrapText="1"/>
    </x:xf>
    <x:xf numFmtId="0" fontId="5" fillId="5" borderId="0" xfId="0" applyNumberFormat="1" applyFont="1" applyFill="1" applyBorder="1" applyAlignment="1">
      <x:alignment horizontal="center" vertical="center" wrapText="1"/>
    </x:xf>
    <x:xf numFmtId="0" fontId="5" fillId="5" borderId="8" xfId="0" applyNumberFormat="1" applyFont="1" applyFill="1" applyBorder="1" applyAlignment="1">
      <x:alignment horizontal="center" vertical="center" wrapText="1"/>
    </x:xf>
    <x:xf numFmtId="0" fontId="0" fillId="5" borderId="1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5" borderId="16" xfId="0" applyNumberFormat="1" applyFont="1" applyFill="1" applyBorder="1" applyAlignment="1">
      <x:alignment wrapText="1"/>
    </x:xf>
    <x:xf numFmtId="0" fontId="5" fillId="5" borderId="1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wrapText="1"/>
    </x:xf>
    <x:xf numFmtId="0" fontId="5" fillId="5" borderId="16" xfId="0" applyNumberFormat="1" applyFont="1" applyFill="1" applyBorder="1" applyAlignment="1">
      <x:alignment wrapText="1"/>
    </x:xf>
    <x:xf numFmtId="0" fontId="5" fillId="5" borderId="11" xfId="0" applyNumberFormat="1" applyFont="1" applyFill="1" applyBorder="1" applyAlignment="1">
      <x:alignment horizontal="center" wrapText="1"/>
    </x:xf>
    <x:xf numFmtId="0" fontId="5" fillId="5" borderId="1" xfId="0" applyNumberFormat="1" applyFont="1" applyFill="1" applyBorder="1" applyAlignment="1">
      <x:alignment horizontal="center" wrapText="1"/>
    </x:xf>
    <x:xf numFmtId="0" fontId="5" fillId="5" borderId="16" xfId="0" applyNumberFormat="1" applyFont="1" applyFill="1" applyBorder="1" applyAlignment="1">
      <x:alignment horizontal="center" wrapText="1"/>
    </x:xf>
    <x:xf numFmtId="0" fontId="5" fillId="5" borderId="11" xfId="0" applyNumberFormat="1" applyFont="1" applyFill="1" applyBorder="1" applyAlignment="1">
      <x:alignment horizontal="center" vertical="center"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0" fontId="5" fillId="5" borderId="16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7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left"/>
    </x:xf>
    <x:xf numFmtId="0" fontId="6" fillId="6" borderId="0" xfId="0" applyNumberFormat="1" applyFont="1" applyFill="1" applyBorder="1" applyAlignment="1">
      <x:alignment horizontal="left" vertical="center"/>
    </x:xf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horizontal="left"/>
    </x:xf>
    <x:xf numFmtId="0" fontId="6" fillId="6" borderId="1" xfId="0" applyNumberFormat="1" applyFont="1" applyFill="1" applyBorder="1" applyAlignment="1">
      <x:alignment horizontal="left" vertical="center"/>
    </x:xf>
    <x:xf numFmtId="0" fontId="0" fillId="6" borderId="2" xfId="0" applyNumberFormat="1" applyFont="1" applyFill="1" applyBorder="1" applyAlignment="1">
      <x:alignment wrapText="1"/>
    </x:xf>
    <x:xf numFmtId="0" fontId="0" fillId="6" borderId="5" xfId="0" applyNumberFormat="1" applyFont="1" applyFill="1" applyBorder="1" applyAlignment="1">
      <x:alignment wrapText="1"/>
    </x:xf>
    <x:xf numFmtId="0" fontId="0" fillId="6" borderId="7" xfId="0" applyNumberFormat="1" applyFont="1" applyFill="1" applyBorder="1" applyAlignment="1">
      <x:alignment wrapText="1"/>
    </x:xf>
    <x:xf numFmtId="0" fontId="6" fillId="6" borderId="2" xfId="0" applyNumberFormat="1" applyFont="1" applyFill="1" applyBorder="1" applyAlignment="1">
      <x:alignment wrapText="1"/>
    </x:xf>
    <x:xf numFmtId="0" fontId="6" fillId="6" borderId="5" xfId="0" applyNumberFormat="1" applyFont="1" applyFill="1" applyBorder="1" applyAlignment="1">
      <x:alignment wrapText="1"/>
    </x:xf>
    <x:xf numFmtId="0" fontId="6" fillId="6" borderId="7" xfId="0" applyNumberFormat="1" applyFont="1" applyFill="1" applyBorder="1" applyAlignment="1">
      <x:alignment wrapText="1"/>
    </x:xf>
    <x:xf numFmtId="0" fontId="6" fillId="6" borderId="2" xfId="0" applyNumberFormat="1" applyFont="1" applyFill="1" applyBorder="1" applyAlignment="1">
      <x:alignment horizontal="center" wrapText="1"/>
    </x:xf>
    <x:xf numFmtId="0" fontId="6" fillId="6" borderId="5" xfId="0" applyNumberFormat="1" applyFont="1" applyFill="1" applyBorder="1" applyAlignment="1">
      <x:alignment horizontal="center" wrapText="1"/>
    </x:xf>
    <x:xf numFmtId="0" fontId="6" fillId="6" borderId="7" xfId="0" applyNumberFormat="1" applyFont="1" applyFill="1" applyBorder="1" applyAlignment="1">
      <x:alignment horizontal="center" wrapText="1"/>
    </x:xf>
    <x:xf numFmtId="0" fontId="6" fillId="6" borderId="2" xfId="0" applyNumberFormat="1" applyFont="1" applyFill="1" applyBorder="1" applyAlignment="1">
      <x:alignment horizontal="center" vertical="center" wrapText="1"/>
    </x:xf>
    <x:xf numFmtId="0" fontId="6" fillId="6" borderId="5" xfId="0" applyNumberFormat="1" applyFont="1" applyFill="1" applyBorder="1" applyAlignment="1">
      <x:alignment horizontal="center" vertical="center" wrapText="1"/>
    </x:xf>
    <x:xf numFmtId="0" fontId="6" fillId="6" borderId="7" xfId="0" applyNumberFormat="1" applyFont="1" applyFill="1" applyBorder="1" applyAlignment="1">
      <x:alignment horizontal="center" vertical="center" wrapText="1"/>
    </x:xf>
    <x:xf numFmtId="0" fontId="0" fillId="6" borderId="10" xfId="0" applyNumberFormat="1" applyFont="1" applyFill="1" applyBorder="1" applyAlignment="1">
      <x:alignment wrapText="1"/>
    </x:xf>
    <x:xf numFmtId="0" fontId="0" fillId="6" borderId="13" xfId="0" applyNumberFormat="1" applyFont="1" applyFill="1" applyBorder="1" applyAlignment="1">
      <x:alignment wrapText="1"/>
    </x:xf>
    <x:xf numFmtId="0" fontId="0" fillId="6" borderId="15" xfId="0" applyNumberFormat="1" applyFont="1" applyFill="1" applyBorder="1" applyAlignment="1">
      <x:alignment wrapText="1"/>
    </x:xf>
    <x:xf numFmtId="0" fontId="6" fillId="6" borderId="10" xfId="0" applyNumberFormat="1" applyFont="1" applyFill="1" applyBorder="1" applyAlignment="1">
      <x:alignment wrapText="1"/>
    </x:xf>
    <x:xf numFmtId="0" fontId="6" fillId="6" borderId="13" xfId="0" applyNumberFormat="1" applyFont="1" applyFill="1" applyBorder="1" applyAlignment="1">
      <x:alignment wrapText="1"/>
    </x:xf>
    <x:xf numFmtId="0" fontId="6" fillId="6" borderId="15" xfId="0" applyNumberFormat="1" applyFont="1" applyFill="1" applyBorder="1" applyAlignment="1">
      <x:alignment wrapText="1"/>
    </x:xf>
    <x:xf numFmtId="0" fontId="6" fillId="6" borderId="10" xfId="0" applyNumberFormat="1" applyFont="1" applyFill="1" applyBorder="1" applyAlignment="1">
      <x:alignment horizontal="center" wrapText="1"/>
    </x:xf>
    <x:xf numFmtId="0" fontId="6" fillId="6" borderId="13" xfId="0" applyNumberFormat="1" applyFont="1" applyFill="1" applyBorder="1" applyAlignment="1">
      <x:alignment horizontal="center" wrapText="1"/>
    </x:xf>
    <x:xf numFmtId="0" fontId="6" fillId="6" borderId="15" xfId="0" applyNumberFormat="1" applyFont="1" applyFill="1" applyBorder="1" applyAlignment="1">
      <x:alignment horizontal="center" wrapText="1"/>
    </x:xf>
    <x:xf numFmtId="0" fontId="6" fillId="6" borderId="10" xfId="0" applyNumberFormat="1" applyFont="1" applyFill="1" applyBorder="1" applyAlignment="1">
      <x:alignment horizontal="center" vertical="center" wrapText="1"/>
    </x:xf>
    <x:xf numFmtId="0" fontId="6" fillId="6" borderId="13" xfId="0" applyNumberFormat="1" applyFont="1" applyFill="1" applyBorder="1" applyAlignment="1">
      <x:alignment horizontal="center" vertical="center" wrapText="1"/>
    </x:xf>
    <x:xf numFmtId="0" fontId="6" fillId="6" borderId="15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/>
    <x:xf numFmtId="0" fontId="7" fillId="7" borderId="1" xfId="0" applyNumberFormat="1" applyFont="1" applyFill="1" applyBorder="1"/>
    <x:xf numFmtId="0" fontId="7" fillId="7" borderId="1" xfId="0" applyNumberFormat="1" applyFont="1" applyFill="1" applyBorder="1" applyAlignment="1">
      <x:alignment wrapText="1"/>
    </x:xf>
    <x:xf numFmtId="0" fontId="7" fillId="7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7" fillId="7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/>
    </x:xf>
    <x:xf numFmtId="0" fontId="0" fillId="0" borderId="12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 applyAlignment="1">
      <x:alignment vertical="center"/>
    </x:xf>
    <x:xf numFmtId="0" fontId="7" fillId="7" borderId="1" xfId="0" applyNumberFormat="1" applyFont="1" applyFill="1" applyBorder="1" applyAlignment="1">
      <x:alignment vertical="center" wrapText="1"/>
    </x:xf>
    <x:xf numFmtId="0" fontId="5" fillId="5" borderId="3" xfId="0" applyNumberFormat="1" applyFont="1" applyFill="1" applyBorder="1" applyAlignment="1">
      <x:alignment horizontal="center" vertical="top" wrapText="1"/>
    </x:xf>
    <x:xf numFmtId="0" fontId="5" fillId="5" borderId="0" xfId="0" applyNumberFormat="1" applyFont="1" applyFill="1" applyBorder="1" applyAlignment="1">
      <x:alignment horizontal="center" vertical="top" wrapText="1"/>
    </x:xf>
    <x:xf numFmtId="0" fontId="5" fillId="5" borderId="8" xfId="0" applyNumberFormat="1" applyFont="1" applyFill="1" applyBorder="1" applyAlignment="1">
      <x:alignment horizontal="center" vertical="top" wrapText="1"/>
    </x:xf>
    <x:xf numFmtId="0" fontId="5" fillId="5" borderId="11" xfId="0" applyNumberFormat="1" applyFont="1" applyFill="1" applyBorder="1" applyAlignment="1">
      <x:alignment horizontal="center" vertical="top" wrapText="1"/>
    </x:xf>
    <x:xf numFmtId="0" fontId="5" fillId="5" borderId="1" xfId="0" applyNumberFormat="1" applyFont="1" applyFill="1" applyBorder="1" applyAlignment="1">
      <x:alignment horizontal="center" vertical="top" wrapText="1"/>
    </x:xf>
    <x:xf numFmtId="0" fontId="5" fillId="5" borderId="16" xfId="0" applyNumberFormat="1" applyFont="1" applyFill="1" applyBorder="1" applyAlignment="1">
      <x:alignment horizontal="center" vertical="top" wrapText="1"/>
    </x:xf>
    <x:xf numFmtId="0" fontId="6" fillId="6" borderId="5" xfId="0" applyNumberFormat="1" applyFont="1" applyFill="1" applyBorder="1" applyAlignment="1">
      <x:alignment horizontal="center" vertical="top" wrapText="1"/>
    </x:xf>
    <x:xf numFmtId="0" fontId="6" fillId="6" borderId="7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/>
    </x:xf>
    <x:xf numFmtId="0" fontId="6" fillId="6" borderId="13" xfId="0" applyNumberFormat="1" applyFont="1" applyFill="1" applyBorder="1" applyAlignment="1">
      <x:alignment horizontal="center" vertical="top" wrapText="1"/>
    </x:xf>
    <x:xf numFmtId="0" fontId="6" fillId="6" borderId="15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/>
    </x:xf>
    <x:xf numFmtId="0" fontId="6" fillId="8" borderId="0" xfId="0" applyNumberFormat="1" applyFont="1" applyFill="1" applyBorder="1" applyAlignment="1">
      <x:alignment horizontal="left" vertical="center"/>
    </x:xf>
    <x:xf numFmtId="0" fontId="8" fillId="8" borderId="0" xfId="0" applyNumberFormat="1" applyFont="1" applyFill="1" applyBorder="1" applyAlignment="1">
      <x:alignment horizontal="left" vertical="center"/>
    </x:xf>
    <x:xf numFmtId="0" fontId="6" fillId="8" borderId="1" xfId="0" applyNumberFormat="1" applyFont="1" applyFill="1" applyBorder="1" applyAlignment="1">
      <x:alignment horizontal="left" vertical="center"/>
    </x:xf>
    <x:xf numFmtId="0" fontId="8" fillId="8" borderId="1" xfId="0" applyNumberFormat="1" applyFont="1" applyFill="1" applyBorder="1" applyAlignment="1">
      <x:alignment horizontal="left" vertical="center"/>
    </x:xf>
    <x:xf numFmtId="0" fontId="6" fillId="9" borderId="2" xfId="0" applyNumberFormat="1" applyFont="1" applyFill="1" applyBorder="1" applyAlignment="1">
      <x:alignment horizontal="center" vertical="center" wrapText="1"/>
    </x:xf>
    <x:xf numFmtId="0" fontId="0" fillId="9" borderId="3" xfId="0" applyNumberFormat="1" applyFont="1" applyFill="1" applyBorder="1" applyAlignment="1">
      <x:alignment vertical="center" wrapText="1"/>
    </x:xf>
    <x:xf numFmtId="0" fontId="9" fillId="9" borderId="2" xfId="0" applyNumberFormat="1" applyFont="1" applyFill="1" applyBorder="1" applyAlignment="1">
      <x:alignment horizontal="center" vertical="center" wrapText="1"/>
    </x:xf>
    <x:xf numFmtId="0" fontId="9" fillId="9" borderId="3" xfId="0" applyNumberFormat="1" applyFont="1" applyFill="1" applyBorder="1" applyAlignment="1">
      <x:alignment vertical="center" wrapText="1"/>
    </x:xf>
    <x:xf numFmtId="0" fontId="9" fillId="9" borderId="2" xfId="0" applyNumberFormat="1" applyFont="1" applyFill="1" applyBorder="1" applyAlignment="1">
      <x:alignment horizontal="left" vertical="center" wrapText="1"/>
    </x:xf>
    <x:xf numFmtId="0" fontId="9" fillId="9" borderId="3" xfId="0" applyNumberFormat="1" applyFont="1" applyFill="1" applyBorder="1" applyAlignment="1">
      <x:alignment horizontal="left" vertical="center" wrapText="1"/>
    </x:xf>
    <x:xf numFmtId="0" fontId="6" fillId="9" borderId="10" xfId="0" applyNumberFormat="1" applyFont="1" applyFill="1" applyBorder="1" applyAlignment="1">
      <x:alignment horizontal="center" vertical="center" wrapText="1"/>
    </x:xf>
    <x:xf numFmtId="0" fontId="0" fillId="9" borderId="11" xfId="0" applyNumberFormat="1" applyFont="1" applyFill="1" applyBorder="1" applyAlignment="1">
      <x:alignment vertical="center" wrapText="1"/>
    </x:xf>
    <x:xf numFmtId="0" fontId="9" fillId="9" borderId="10" xfId="0" applyNumberFormat="1" applyFont="1" applyFill="1" applyBorder="1" applyAlignment="1">
      <x:alignment horizontal="center" vertical="center" wrapText="1"/>
    </x:xf>
    <x:xf numFmtId="0" fontId="9" fillId="9" borderId="11" xfId="0" applyNumberFormat="1" applyFont="1" applyFill="1" applyBorder="1" applyAlignment="1">
      <x:alignment vertical="center" wrapText="1"/>
    </x:xf>
    <x:xf numFmtId="0" fontId="9" fillId="9" borderId="10" xfId="0" applyNumberFormat="1" applyFont="1" applyFill="1" applyBorder="1" applyAlignment="1">
      <x:alignment horizontal="left" vertical="center" wrapText="1"/>
    </x:xf>
    <x:xf numFmtId="0" fontId="9" fillId="9" borderId="11" xfId="0" applyNumberFormat="1" applyFont="1" applyFill="1" applyBorder="1" applyAlignment="1">
      <x:alignment horizontal="left" vertical="center" wrapText="1"/>
    </x:xf>
    <x:xf numFmtId="0" fontId="6" fillId="6" borderId="18" xfId="0" applyNumberFormat="1" applyFont="1" applyFill="1" applyBorder="1" applyAlignment="1">
      <x:alignment horizontal="center"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0" fillId="0" borderId="20" xfId="0" applyNumberFormat="1" applyFont="1" applyFill="1" applyBorder="1" applyAlignment="1">
      <x:alignment vertical="top" wrapText="1"/>
    </x:xf>
    <x:xf numFmtId="0" fontId="6" fillId="6" borderId="21" xfId="0" applyNumberFormat="1" applyFont="1" applyFill="1" applyBorder="1" applyAlignment="1">
      <x:alignment horizontal="center" vertical="top" wrapText="1"/>
    </x:xf>
    <x:xf numFmtId="0" fontId="0" fillId="0" borderId="22" xfId="0" applyNumberFormat="1" applyFont="1" applyFill="1" applyBorder="1" applyAlignment="1">
      <x:alignment vertical="top" wrapText="1"/>
    </x:xf>
    <x:xf numFmtId="0" fontId="6" fillId="6" borderId="23" xfId="0" applyNumberFormat="1" applyFont="1" applyFill="1" applyBorder="1" applyAlignment="1">
      <x:alignment horizontal="center" vertical="top" wrapText="1"/>
    </x:xf>
    <x:xf numFmtId="0" fontId="0" fillId="0" borderId="24" xfId="0" applyNumberFormat="1" applyFont="1" applyFill="1" applyBorder="1" applyAlignment="1">
      <x:alignment vertical="top" wrapText="1"/>
    </x:xf>
    <x:xf numFmtId="0" fontId="0" fillId="0" borderId="25" xfId="0" applyNumberFormat="1" applyFont="1" applyFill="1" applyBorder="1" applyAlignment="1">
      <x:alignment vertical="top" wrapText="1"/>
    </x:xf>
    <x:xf numFmtId="0" fontId="0" fillId="0" borderId="26" xfId="0" applyNumberFormat="1" applyFont="1" applyFill="1" applyBorder="1" applyAlignment="1">
      <x:alignment vertical="top" wrapText="1"/>
    </x:xf>
    <x:xf numFmtId="0" fontId="0" fillId="0" borderId="27" xfId="0" applyNumberFormat="1" applyFont="1" applyFill="1" applyBorder="1" applyAlignment="1">
      <x:alignment vertical="top" wrapText="1"/>
    </x:xf>
    <x:xf numFmtId="0" fontId="6" fillId="6" borderId="28" xfId="0" applyNumberFormat="1" applyFont="1" applyFill="1" applyBorder="1" applyAlignment="1">
      <x:alignment horizontal="center" vertical="top" wrapText="1"/>
    </x:xf>
    <x:xf numFmtId="0" fontId="0" fillId="0" borderId="29" xfId="0" applyNumberFormat="1" applyFont="1" applyFill="1" applyBorder="1" applyAlignment="1">
      <x:alignment vertical="top" wrapText="1"/>
    </x:xf>
    <x:xf numFmtId="0" fontId="0" fillId="0" borderId="30" xfId="0" applyNumberFormat="1" applyFont="1" applyFill="1" applyBorder="1" applyAlignment="1">
      <x:alignment vertical="top" wrapText="1"/>
    </x:xf>
    <x:xf numFmtId="0" fontId="6" fillId="6" borderId="31" xfId="0" applyNumberFormat="1" applyFont="1" applyFill="1" applyBorder="1" applyAlignment="1">
      <x:alignment horizontal="center" vertical="top" wrapText="1"/>
    </x:xf>
    <x:xf numFmtId="0" fontId="0" fillId="0" borderId="32" xfId="0" applyNumberFormat="1" applyFont="1" applyFill="1" applyBorder="1" applyAlignment="1">
      <x:alignment vertical="top" wrapText="1"/>
    </x:xf>
    <x:xf numFmtId="0" fontId="6" fillId="6" borderId="33" xfId="0" applyNumberFormat="1" applyFont="1" applyFill="1" applyBorder="1" applyAlignment="1">
      <x:alignment horizontal="center" vertical="top" wrapText="1"/>
    </x:xf>
    <x:xf numFmtId="0" fontId="0" fillId="0" borderId="34" xfId="0" applyNumberFormat="1" applyFont="1" applyFill="1" applyBorder="1" applyAlignment="1">
      <x:alignment vertical="top" wrapText="1"/>
    </x:xf>
    <x:xf numFmtId="0" fontId="0" fillId="0" borderId="35" xfId="0" applyNumberFormat="1" applyFont="1" applyFill="1" applyBorder="1" applyAlignment="1">
      <x:alignment vertical="top" wrapText="1"/>
    </x:xf>
    <x:xf numFmtId="0" fontId="0" fillId="0" borderId="36" xfId="0" applyNumberFormat="1" applyFont="1" applyFill="1" applyBorder="1" applyAlignment="1">
      <x:alignment vertical="top" wrapText="1"/>
    </x:xf>
    <x:xf numFmtId="0" fontId="0" fillId="0" borderId="37" xfId="0" applyNumberFormat="1" applyFont="1" applyFill="1" applyBorder="1" applyAlignment="1">
      <x:alignment vertical="top" wrapText="1"/>
    </x:xf>
    <x:xf numFmtId="0" fontId="0" fillId="0" borderId="25" xfId="0" applyNumberFormat="1" applyFont="1" applyFill="1" applyBorder="1" applyAlignment="1">
      <x:alignment horizontal="center" vertical="top" wrapText="1"/>
    </x:xf>
    <x:xf numFmtId="0" fontId="0" fillId="0" borderId="35" xfId="0" applyNumberFormat="1" applyFont="1" applyFill="1" applyBorder="1" applyAlignment="1">
      <x:alignment horizontal="center" vertical="top" wrapText="1"/>
    </x:xf>
    <x:xf numFmtId="0" fontId="0" fillId="0" borderId="20" xfId="0" applyNumberFormat="1" applyFont="1" applyFill="1" applyBorder="1" applyAlignment="1">
      <x:alignment horizontal="center" vertical="top" wrapText="1"/>
    </x:xf>
    <x:xf numFmtId="0" fontId="0" fillId="0" borderId="22" xfId="0" applyNumberFormat="1" applyFont="1" applyFill="1" applyBorder="1" applyAlignment="1">
      <x:alignment horizontal="center" vertical="top" wrapText="1"/>
    </x:xf>
    <x:xf numFmtId="0" fontId="0" fillId="0" borderId="24" xfId="0" applyNumberFormat="1" applyFont="1" applyFill="1" applyBorder="1" applyAlignment="1">
      <x:alignment horizontal="center" vertical="top" wrapText="1"/>
    </x:xf>
    <x:xf numFmtId="0" fontId="0" fillId="0" borderId="27" xfId="0" applyNumberFormat="1" applyFont="1" applyFill="1" applyBorder="1" applyAlignment="1">
      <x:alignment horizontal="center" vertical="top" wrapText="1"/>
    </x:xf>
    <x:xf numFmtId="0" fontId="0" fillId="0" borderId="30" xfId="0" applyNumberFormat="1" applyFont="1" applyFill="1" applyBorder="1" applyAlignment="1">
      <x:alignment horizontal="center" vertical="top" wrapText="1"/>
    </x:xf>
    <x:xf numFmtId="0" fontId="0" fillId="0" borderId="32" xfId="0" applyNumberFormat="1" applyFont="1" applyFill="1" applyBorder="1" applyAlignment="1">
      <x:alignment horizontal="center" vertical="top" wrapText="1"/>
    </x:xf>
    <x:xf numFmtId="0" fontId="0" fillId="0" borderId="34" xfId="0" applyNumberFormat="1" applyFont="1" applyFill="1" applyBorder="1" applyAlignment="1">
      <x:alignment horizontal="center" vertical="top" wrapText="1"/>
    </x:xf>
    <x:xf numFmtId="0" fontId="0" fillId="0" borderId="37" xfId="0" applyNumberFormat="1" applyFont="1" applyFill="1" applyBorder="1" applyAlignment="1">
      <x:alignment horizontal="center"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  <x:xf numFmtId="0" fontId="0" fillId="0" borderId="28" xfId="0" applyNumberFormat="1" applyFont="1" applyFill="1" applyBorder="1" applyAlignment="1">
      <x:alignment vertical="top" wrapText="1"/>
    </x:xf>
    <x:xf numFmtId="0" fontId="0" fillId="0" borderId="31" xfId="0" applyNumberFormat="1" applyFont="1" applyFill="1" applyBorder="1" applyAlignment="1">
      <x:alignment vertical="top" wrapText="1"/>
    </x:xf>
    <x:xf numFmtId="0" fontId="0" fillId="0" borderId="33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horizontal="center" vertical="top" wrapText="1"/>
    </x:xf>
    <x:xf numFmtId="0" fontId="0" fillId="0" borderId="21" xfId="0" applyNumberFormat="1" applyFont="1" applyFill="1" applyBorder="1" applyAlignment="1">
      <x:alignment horizontal="center" vertical="top" wrapText="1"/>
    </x:xf>
    <x:xf numFmtId="0" fontId="0" fillId="0" borderId="23" xfId="0" applyNumberFormat="1" applyFont="1" applyFill="1" applyBorder="1" applyAlignment="1">
      <x:alignment horizontal="center" vertical="top" wrapText="1"/>
    </x:xf>
    <x:xf numFmtId="0" fontId="0" fillId="0" borderId="28" xfId="0" applyNumberFormat="1" applyFont="1" applyFill="1" applyBorder="1" applyAlignment="1">
      <x:alignment horizontal="center" vertical="top" wrapText="1"/>
    </x:xf>
    <x:xf numFmtId="0" fontId="0" fillId="0" borderId="31" xfId="0" applyNumberFormat="1" applyFont="1" applyFill="1" applyBorder="1" applyAlignment="1">
      <x:alignment horizontal="center" vertical="top" wrapText="1"/>
    </x:xf>
    <x:xf numFmtId="0" fontId="0" fillId="0" borderId="33" xfId="0" applyNumberFormat="1" applyFont="1" applyFill="1" applyBorder="1" applyAlignment="1">
      <x:alignment horizontal="center" vertical="top" wrapText="1"/>
    </x:xf>
    <x:xf numFmtId="0" fontId="8" fillId="8" borderId="0" xfId="0" applyNumberFormat="1" applyFont="1" applyFill="1" applyBorder="1" applyAlignment="1">
      <x:alignment horizontal="left" vertical="center" wrapText="0"/>
    </x:xf>
    <x:xf numFmtId="0" fontId="8" fillId="8" borderId="1" xfId="0" applyNumberFormat="1" applyFont="1" applyFill="1" applyBorder="1" applyAlignment="1">
      <x:alignment horizontal="left" vertical="center" wrapText="0"/>
    </x:xf>
    <x:xf numFmtId="0" fontId="8" fillId="10" borderId="0" xfId="0" applyNumberFormat="1" applyFont="1" applyFill="1" applyBorder="1" applyAlignment="1">
      <x:alignment horizontal="left" vertical="center"/>
    </x:xf>
    <x:xf numFmtId="0" fontId="9" fillId="10" borderId="2" xfId="0" applyNumberFormat="1" applyFont="1" applyFill="1" applyBorder="1" applyAlignment="1">
      <x:alignment horizontal="left" vertical="center" wrapText="1"/>
    </x:xf>
    <x:xf numFmtId="0" fontId="6" fillId="10" borderId="18" xfId="0" applyNumberFormat="1" applyFont="1" applyFill="1" applyBorder="1" applyAlignment="1">
      <x:alignment horizontal="center" vertical="top" wrapText="1"/>
    </x:xf>
    <x:xf numFmtId="0" fontId="6" fillId="10" borderId="21" xfId="0" applyNumberFormat="1" applyFont="1" applyFill="1" applyBorder="1" applyAlignment="1">
      <x:alignment horizontal="center" vertical="top" wrapText="1"/>
    </x:xf>
    <x:xf numFmtId="0" fontId="6" fillId="10" borderId="23" xfId="0" applyNumberFormat="1" applyFont="1" applyFill="1" applyBorder="1" applyAlignment="1">
      <x:alignment horizontal="center" vertical="top" wrapText="1"/>
    </x:xf>
    <x:xf numFmtId="0" fontId="0" fillId="10" borderId="25" xfId="0" applyNumberFormat="1" applyFont="1" applyFill="1" applyBorder="1" applyAlignment="1">
      <x:alignment horizontal="center" vertical="top" wrapText="1"/>
    </x:xf>
    <x:xf numFmtId="0" fontId="10" fillId="10" borderId="0" xfId="0" applyNumberFormat="1" applyFont="1" applyFill="1" applyBorder="1" applyAlignment="1">
      <x:alignment horizontal="left" vertical="center"/>
    </x:xf>
    <x:xf numFmtId="0" fontId="10" fillId="10" borderId="2" xfId="0" applyNumberFormat="1" applyFont="1" applyFill="1" applyBorder="1" applyAlignment="1">
      <x:alignment horizontal="left" vertical="center" wrapText="1"/>
    </x:xf>
    <x:xf numFmtId="0" fontId="10" fillId="10" borderId="18" xfId="0" applyNumberFormat="1" applyFont="1" applyFill="1" applyBorder="1" applyAlignment="1">
      <x:alignment horizontal="center" vertical="top" wrapText="1"/>
    </x:xf>
    <x:xf numFmtId="0" fontId="10" fillId="10" borderId="21" xfId="0" applyNumberFormat="1" applyFont="1" applyFill="1" applyBorder="1" applyAlignment="1">
      <x:alignment horizontal="center" vertical="top" wrapText="1"/>
    </x:xf>
    <x:xf numFmtId="0" fontId="10" fillId="10" borderId="23" xfId="0" applyNumberFormat="1" applyFont="1" applyFill="1" applyBorder="1" applyAlignment="1">
      <x:alignment horizontal="center" vertical="top" wrapText="1"/>
    </x:xf>
    <x:xf numFmtId="0" fontId="11" fillId="10" borderId="25" xfId="0" applyNumberFormat="1" applyFont="1" applyFill="1" applyBorder="1" applyAlignment="1">
      <x:alignment horizontal="center" vertical="top" wrapText="1"/>
    </x:xf>
    <x:xf numFmtId="0" fontId="10" fillId="10" borderId="38" xfId="0" applyNumberFormat="1" applyFont="1" applyFill="1" applyBorder="1" applyAlignment="1">
      <x:alignment horizontal="left" vertical="center"/>
    </x:xf>
    <x:xf numFmtId="0" fontId="10" fillId="10" borderId="39" xfId="0" applyNumberFormat="1" applyFont="1" applyFill="1" applyBorder="1" applyAlignment="1">
      <x:alignment horizontal="left" vertical="center" wrapText="1"/>
    </x:xf>
    <x:xf numFmtId="0" fontId="10" fillId="10" borderId="40" xfId="0" applyNumberFormat="1" applyFont="1" applyFill="1" applyBorder="1" applyAlignment="1">
      <x:alignment horizontal="center" vertical="top" wrapText="1"/>
    </x:xf>
    <x:xf numFmtId="0" fontId="10" fillId="10" borderId="41" xfId="0" applyNumberFormat="1" applyFont="1" applyFill="1" applyBorder="1" applyAlignment="1">
      <x:alignment horizontal="center" vertical="top" wrapText="1"/>
    </x:xf>
    <x:xf numFmtId="0" fontId="10" fillId="10" borderId="42" xfId="0" applyNumberFormat="1" applyFont="1" applyFill="1" applyBorder="1" applyAlignment="1">
      <x:alignment horizontal="center" vertical="top" wrapText="1"/>
    </x:xf>
    <x:xf numFmtId="0" fontId="11" fillId="10" borderId="43" xfId="0" applyNumberFormat="1" applyFont="1" applyFill="1" applyBorder="1" applyAlignment="1">
      <x:alignment horizontal="center" vertical="top" wrapText="1"/>
    </x:xf>
    <x:xf numFmtId="0" fontId="10" fillId="10" borderId="38" xfId="0" applyNumberFormat="1" applyFont="1" applyFill="1" applyBorder="1" applyAlignment="1">
      <x:alignment horizontal="left" vertical="center" wrapText="0"/>
    </x:xf>
    <x:xf numFmtId="0" fontId="10" fillId="10" borderId="39" xfId="0" applyNumberFormat="1" applyFont="1" applyFill="1" applyBorder="1" applyAlignment="1">
      <x:alignment horizontal="left" vertical="center" wrapText="0"/>
    </x:xf>
    <x:xf numFmtId="0" fontId="10" fillId="10" borderId="40" xfId="0" applyNumberFormat="1" applyFont="1" applyFill="1" applyBorder="1" applyAlignment="1">
      <x:alignment horizontal="center" vertical="top" wrapText="0"/>
    </x:xf>
    <x:xf numFmtId="0" fontId="10" fillId="10" borderId="41" xfId="0" applyNumberFormat="1" applyFont="1" applyFill="1" applyBorder="1" applyAlignment="1">
      <x:alignment horizontal="center" vertical="top" wrapText="0"/>
    </x:xf>
    <x:xf numFmtId="0" fontId="10" fillId="10" borderId="42" xfId="0" applyNumberFormat="1" applyFont="1" applyFill="1" applyBorder="1" applyAlignment="1">
      <x:alignment horizontal="center" vertical="top" wrapText="0"/>
    </x:xf>
    <x:xf numFmtId="0" fontId="11" fillId="10" borderId="43" xfId="0" applyNumberFormat="1" applyFont="1" applyFill="1" applyBorder="1" applyAlignment="1">
      <x:alignment horizontal="center" vertical="top" wrapText="0"/>
    </x:xf>
    <x:xf numFmtId="0" fontId="10" fillId="10" borderId="40" xfId="0" applyNumberFormat="1" applyFont="1" applyFill="1" applyBorder="1" applyAlignment="1">
      <x:alignment horizontal="left" vertical="top" wrapText="0"/>
    </x:xf>
    <x:xf numFmtId="0" fontId="10" fillId="10" borderId="41" xfId="0" applyNumberFormat="1" applyFont="1" applyFill="1" applyBorder="1" applyAlignment="1">
      <x:alignment horizontal="left" vertical="top" wrapText="0"/>
    </x:xf>
    <x:xf numFmtId="0" fontId="10" fillId="10" borderId="42" xfId="0" applyNumberFormat="1" applyFont="1" applyFill="1" applyBorder="1" applyAlignment="1">
      <x:alignment horizontal="left" vertical="top" wrapText="0"/>
    </x:xf>
    <x:xf numFmtId="0" fontId="11" fillId="10" borderId="43" xfId="0" applyNumberFormat="1" applyFont="1" applyFill="1" applyBorder="1" applyAlignment="1">
      <x:alignment horizontal="left" vertical="top" wrapText="0"/>
    </x:xf>
    <x:xf numFmtId="0" fontId="10" fillId="10" borderId="40" xfId="0" applyNumberFormat="1" applyFont="1" applyFill="1" applyBorder="1" applyAlignment="1">
      <x:alignment horizontal="left" vertical="center" wrapText="0"/>
    </x:xf>
    <x:xf numFmtId="0" fontId="10" fillId="10" borderId="41" xfId="0" applyNumberFormat="1" applyFont="1" applyFill="1" applyBorder="1" applyAlignment="1">
      <x:alignment horizontal="left" vertical="center" wrapText="0"/>
    </x:xf>
    <x:xf numFmtId="0" fontId="10" fillId="10" borderId="42" xfId="0" applyNumberFormat="1" applyFont="1" applyFill="1" applyBorder="1" applyAlignment="1">
      <x:alignment horizontal="left" vertical="center" wrapText="0"/>
    </x:xf>
    <x:xf numFmtId="0" fontId="11" fillId="10" borderId="43" xfId="0" applyNumberFormat="1" applyFont="1" applyFill="1" applyBorder="1" applyAlignment="1">
      <x:alignment horizontal="left" vertical="center" wrapText="0"/>
    </x:xf>
    <x:xf numFmtId="0" fontId="8" fillId="10" borderId="1" xfId="0" applyNumberFormat="1" applyFont="1" applyFill="1" applyBorder="1" applyAlignment="1">
      <x:alignment horizontal="left" vertical="center"/>
    </x:xf>
    <x:xf numFmtId="0" fontId="9" fillId="10" borderId="10" xfId="0" applyNumberFormat="1" applyFont="1" applyFill="1" applyBorder="1" applyAlignment="1">
      <x:alignment horizontal="left" vertical="center" wrapText="1"/>
    </x:xf>
    <x:xf numFmtId="0" fontId="6" fillId="10" borderId="28" xfId="0" applyNumberFormat="1" applyFont="1" applyFill="1" applyBorder="1" applyAlignment="1">
      <x:alignment horizontal="center" vertical="top" wrapText="1"/>
    </x:xf>
    <x:xf numFmtId="0" fontId="6" fillId="10" borderId="31" xfId="0" applyNumberFormat="1" applyFont="1" applyFill="1" applyBorder="1" applyAlignment="1">
      <x:alignment horizontal="center" vertical="top" wrapText="1"/>
    </x:xf>
    <x:xf numFmtId="0" fontId="6" fillId="10" borderId="33" xfId="0" applyNumberFormat="1" applyFont="1" applyFill="1" applyBorder="1" applyAlignment="1">
      <x:alignment horizontal="center" vertical="top" wrapText="1"/>
    </x:xf>
    <x:xf numFmtId="0" fontId="0" fillId="10" borderId="35" xfId="0" applyNumberFormat="1" applyFont="1" applyFill="1" applyBorder="1" applyAlignment="1">
      <x:alignment horizontal="center" vertical="top" wrapText="1"/>
    </x:xf>
    <x:xf numFmtId="0" fontId="10" fillId="10" borderId="1" xfId="0" applyNumberFormat="1" applyFont="1" applyFill="1" applyBorder="1" applyAlignment="1">
      <x:alignment horizontal="left" vertical="center"/>
    </x:xf>
    <x:xf numFmtId="0" fontId="10" fillId="10" borderId="10" xfId="0" applyNumberFormat="1" applyFont="1" applyFill="1" applyBorder="1" applyAlignment="1">
      <x:alignment horizontal="left" vertical="center" wrapText="1"/>
    </x:xf>
    <x:xf numFmtId="0" fontId="10" fillId="10" borderId="28" xfId="0" applyNumberFormat="1" applyFont="1" applyFill="1" applyBorder="1" applyAlignment="1">
      <x:alignment horizontal="center" vertical="top" wrapText="1"/>
    </x:xf>
    <x:xf numFmtId="0" fontId="10" fillId="10" borderId="31" xfId="0" applyNumberFormat="1" applyFont="1" applyFill="1" applyBorder="1" applyAlignment="1">
      <x:alignment horizontal="center" vertical="top" wrapText="1"/>
    </x:xf>
    <x:xf numFmtId="0" fontId="10" fillId="10" borderId="33" xfId="0" applyNumberFormat="1" applyFont="1" applyFill="1" applyBorder="1" applyAlignment="1">
      <x:alignment horizontal="center" vertical="top" wrapText="1"/>
    </x:xf>
    <x:xf numFmtId="0" fontId="11" fillId="10" borderId="35" xfId="0" applyNumberFormat="1" applyFont="1" applyFill="1" applyBorder="1" applyAlignment="1">
      <x:alignment horizontal="center" vertical="top" wrapText="1"/>
    </x:xf>
    <x:xf numFmtId="0" fontId="10" fillId="10" borderId="44" xfId="0" applyNumberFormat="1" applyFont="1" applyFill="1" applyBorder="1" applyAlignment="1">
      <x:alignment horizontal="left" vertical="center"/>
    </x:xf>
    <x:xf numFmtId="0" fontId="10" fillId="10" borderId="45" xfId="0" applyNumberFormat="1" applyFont="1" applyFill="1" applyBorder="1" applyAlignment="1">
      <x:alignment horizontal="left" vertical="center" wrapText="1"/>
    </x:xf>
    <x:xf numFmtId="0" fontId="10" fillId="10" borderId="46" xfId="0" applyNumberFormat="1" applyFont="1" applyFill="1" applyBorder="1" applyAlignment="1">
      <x:alignment horizontal="center" vertical="top" wrapText="1"/>
    </x:xf>
    <x:xf numFmtId="0" fontId="10" fillId="10" borderId="47" xfId="0" applyNumberFormat="1" applyFont="1" applyFill="1" applyBorder="1" applyAlignment="1">
      <x:alignment horizontal="center" vertical="top" wrapText="1"/>
    </x:xf>
    <x:xf numFmtId="0" fontId="10" fillId="10" borderId="48" xfId="0" applyNumberFormat="1" applyFont="1" applyFill="1" applyBorder="1" applyAlignment="1">
      <x:alignment horizontal="center" vertical="top" wrapText="1"/>
    </x:xf>
    <x:xf numFmtId="0" fontId="11" fillId="10" borderId="49" xfId="0" applyNumberFormat="1" applyFont="1" applyFill="1" applyBorder="1" applyAlignment="1">
      <x:alignment horizontal="center" vertical="top" wrapText="1"/>
    </x:xf>
    <x:xf numFmtId="0" fontId="10" fillId="10" borderId="44" xfId="0" applyNumberFormat="1" applyFont="1" applyFill="1" applyBorder="1" applyAlignment="1">
      <x:alignment horizontal="left" vertical="center" wrapText="0"/>
    </x:xf>
    <x:xf numFmtId="0" fontId="10" fillId="10" borderId="45" xfId="0" applyNumberFormat="1" applyFont="1" applyFill="1" applyBorder="1" applyAlignment="1">
      <x:alignment horizontal="left" vertical="center" wrapText="0"/>
    </x:xf>
    <x:xf numFmtId="0" fontId="10" fillId="10" borderId="46" xfId="0" applyNumberFormat="1" applyFont="1" applyFill="1" applyBorder="1" applyAlignment="1">
      <x:alignment horizontal="center" vertical="top" wrapText="0"/>
    </x:xf>
    <x:xf numFmtId="0" fontId="10" fillId="10" borderId="47" xfId="0" applyNumberFormat="1" applyFont="1" applyFill="1" applyBorder="1" applyAlignment="1">
      <x:alignment horizontal="center" vertical="top" wrapText="0"/>
    </x:xf>
    <x:xf numFmtId="0" fontId="10" fillId="10" borderId="48" xfId="0" applyNumberFormat="1" applyFont="1" applyFill="1" applyBorder="1" applyAlignment="1">
      <x:alignment horizontal="center" vertical="top" wrapText="0"/>
    </x:xf>
    <x:xf numFmtId="0" fontId="11" fillId="10" borderId="49" xfId="0" applyNumberFormat="1" applyFont="1" applyFill="1" applyBorder="1" applyAlignment="1">
      <x:alignment horizontal="center" vertical="top" wrapText="0"/>
    </x:xf>
    <x:xf numFmtId="0" fontId="10" fillId="10" borderId="46" xfId="0" applyNumberFormat="1" applyFont="1" applyFill="1" applyBorder="1" applyAlignment="1">
      <x:alignment horizontal="left" vertical="top" wrapText="0"/>
    </x:xf>
    <x:xf numFmtId="0" fontId="10" fillId="10" borderId="47" xfId="0" applyNumberFormat="1" applyFont="1" applyFill="1" applyBorder="1" applyAlignment="1">
      <x:alignment horizontal="left" vertical="top" wrapText="0"/>
    </x:xf>
    <x:xf numFmtId="0" fontId="10" fillId="10" borderId="48" xfId="0" applyNumberFormat="1" applyFont="1" applyFill="1" applyBorder="1" applyAlignment="1">
      <x:alignment horizontal="left" vertical="top" wrapText="0"/>
    </x:xf>
    <x:xf numFmtId="0" fontId="11" fillId="10" borderId="49" xfId="0" applyNumberFormat="1" applyFont="1" applyFill="1" applyBorder="1" applyAlignment="1">
      <x:alignment horizontal="left" vertical="top" wrapText="0"/>
    </x:xf>
    <x:xf numFmtId="0" fontId="10" fillId="10" borderId="46" xfId="0" applyNumberFormat="1" applyFont="1" applyFill="1" applyBorder="1" applyAlignment="1">
      <x:alignment horizontal="left" vertical="center" wrapText="0"/>
    </x:xf>
    <x:xf numFmtId="0" fontId="10" fillId="10" borderId="47" xfId="0" applyNumberFormat="1" applyFont="1" applyFill="1" applyBorder="1" applyAlignment="1">
      <x:alignment horizontal="left" vertical="center" wrapText="0"/>
    </x:xf>
    <x:xf numFmtId="0" fontId="10" fillId="10" borderId="48" xfId="0" applyNumberFormat="1" applyFont="1" applyFill="1" applyBorder="1" applyAlignment="1">
      <x:alignment horizontal="left" vertical="center" wrapText="0"/>
    </x:xf>
    <x:xf numFmtId="0" fontId="11" fillId="10" borderId="49" xfId="0" applyNumberFormat="1" applyFont="1" applyFill="1" applyBorder="1" applyAlignment="1">
      <x:alignment horizontal="left" vertical="center" wrapText="0"/>
    </x:xf>
    <x:xf numFmtId="0" fontId="10" fillId="10" borderId="50" xfId="0" applyNumberFormat="1" applyFont="1" applyFill="1" applyBorder="1" applyAlignment="1">
      <x:alignment horizontal="left" vertical="center" wrapText="0"/>
    </x:xf>
    <x:xf numFmtId="0" fontId="10" fillId="10" borderId="51" xfId="0" applyNumberFormat="1" applyFont="1" applyFill="1" applyBorder="1" applyAlignment="1">
      <x:alignment horizontal="left" vertical="center" wrapText="0"/>
    </x:xf>
    <x:xf numFmtId="0" fontId="10" fillId="10" borderId="52" xfId="0" applyNumberFormat="1" applyFont="1" applyFill="1" applyBorder="1" applyAlignment="1">
      <x:alignment horizontal="left" vertical="center" wrapText="0"/>
    </x:xf>
    <x:xf numFmtId="0" fontId="10" fillId="10" borderId="53" xfId="0" applyNumberFormat="1" applyFont="1" applyFill="1" applyBorder="1" applyAlignment="1">
      <x:alignment horizontal="left" vertical="center" wrapText="0"/>
    </x:xf>
    <x:xf numFmtId="0" fontId="10" fillId="10" borderId="54" xfId="0" applyNumberFormat="1" applyFont="1" applyFill="1" applyBorder="1" applyAlignment="1">
      <x:alignment horizontal="left" vertical="center" wrapText="0"/>
    </x:xf>
    <x:xf numFmtId="0" fontId="11" fillId="10" borderId="55" xfId="0" applyNumberFormat="1" applyFont="1" applyFill="1" applyBorder="1" applyAlignment="1">
      <x:alignment horizontal="left" vertical="center" wrapText="0"/>
    </x:xf>
  </x:cellXfs>
  <x:cellStyles count="1">
    <x:cellStyle name="Normal" xfId="0"/>
  </x:cellStyles>
  <x:dxfs count="2">
    <x:dxf>
      <x:fill>
        <x:patternFill patternType="solid">
          <x:bgColor rgb="FFFFF6E0"/>
        </x:patternFill>
      </x:fill>
    </x:dxf>
    <x:dxf>
      <x:fill>
        <x:patternFill patternType="solid">
          <x:bgColor rgb="FFFFF0E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933aec35c642a8" /><Relationship Type="http://schemas.openxmlformats.org/officeDocument/2006/relationships/theme" Target="/xl/theme/theme1.xml" Id="R040795dd40d14f12" /><Relationship Type="http://schemas.openxmlformats.org/officeDocument/2006/relationships/sharedStrings" Target="/xl/sharedStrings.xml" Id="R19d9620f8fe14a1c" /><Relationship Type="http://schemas.openxmlformats.org/officeDocument/2006/relationships/worksheet" Target="/xl/worksheets/sheet1.xml" Id="R0a1f194823414603" /><Relationship Type="http://schemas.openxmlformats.org/officeDocument/2006/relationships/worksheet" Target="/xl/worksheets/sheet2.xml" Id="R9649c61ee9c9470e" /><Relationship Type="http://schemas.openxmlformats.org/officeDocument/2006/relationships/worksheet" Target="/xl/worksheets/sheet3.xml" Id="R1d236728ad6a4b5d" /><Relationship Type="http://schemas.openxmlformats.org/officeDocument/2006/relationships/worksheet" Target="/xl/worksheets/sheet4.xml" Id="Rabd2c78a43714bc1" /><Relationship Type="http://schemas.openxmlformats.org/officeDocument/2006/relationships/worksheet" Target="/xl/worksheets/sheet5.xml" Id="R7c3b8e8c7282491c" /><Relationship Type="http://schemas.openxmlformats.org/officeDocument/2006/relationships/worksheet" Target="/xl/worksheets/sheet6.xml" Id="R424ddfd14ffa4a00" /><Relationship Type="http://schemas.openxmlformats.org/officeDocument/2006/relationships/worksheet" Target="/xl/worksheets/sheet7.xml" Id="R3ca4b6269519421d" /><Relationship Type="http://schemas.openxmlformats.org/officeDocument/2006/relationships/worksheet" Target="/xl/worksheets/sheet8.xml" Id="R305657f3953c4c53" /></Relationships>
</file>

<file path=xl/tables/table1.xml><?xml version="1.0" encoding="utf-8"?>
<x:table xmlns:x="http://schemas.openxmlformats.org/spreadsheetml/2006/main" id="1" name="MasterPortfolioTable" displayName="MasterPortfolioTable" ref="A4:AI32" headerRowCount="1">
  <x:tableColumns count="35">
    <x:tableColumn id="1" name="Project ID"/>
    <x:tableColumn id="2" name="Project / Content Title"/>
    <x:tableColumn id="3" name="Type"/>
    <x:tableColumn id="4" name="Source Platform(s)"/>
    <x:tableColumn id="5" name="Source Record URL"/>
    <x:tableColumn id="6" name="Live / Repo / Read URL"/>
    <x:tableColumn id="7" name="Date / Year"/>
    <x:tableColumn id="8" name="Client / Organisation / Sector"/>
    <x:tableColumn id="9" name="Status"/>
    <x:tableColumn id="10" name="Role / Contribution"/>
    <x:tableColumn id="11" name="Capabilities Shown"/>
    <x:tableColumn id="12" name="Tools / Stack"/>
    <x:tableColumn id="13" name="Problem / Goal"/>
    <x:tableColumn id="14" name="Portfolio Story Angle"/>
    <x:tableColumn id="15" name="Public Evidence / Result"/>
    <x:tableColumn id="16" name="Hero / Cover"/>
    <x:tableColumn id="17" name="Screens / Visuals"/>
    <x:tableColumn id="18" name="Brief / Context"/>
    <x:tableColumn id="19" name="Process Evidence"/>
    <x:tableColumn id="20" name="Results / Metrics"/>
    <x:tableColumn id="21" name="Live Demo / Link"/>
    <x:tableColumn id="22" name="Permission"/>
    <x:tableColumn id="23" name="Recruiter Relevance&#10;(1–5)"/>
    <x:tableColumn id="24" name="Visual Impact&#10;(1–5)"/>
    <x:tableColumn id="25" name="Strategy Depth&#10;(1–5)"/>
    <x:tableColumn id="26" name="Craft / Functional Depth&#10;(1–5)"/>
    <x:tableColumn id="27" name="Result Proof&#10;(1–5)"/>
    <x:tableColumn id="28" name="Role Clarity&#10;(1–5)"/>
    <x:tableColumn id="29" name="Distinctiveness&#10;(1–5)"/>
    <x:tableColumn id="30" name="Readiness Score&#10;(formula)"/>
    <x:tableColumn id="31" name="Showcase Score&#10;(formula)"/>
    <x:tableColumn id="32" name="Priority&#10;(formula)"/>
    <x:tableColumn id="33" name="Recommended Website Placement"/>
    <x:tableColumn id="34" name="Missing Material / Next Step"/>
    <x:tableColumn id="35" name="Verification Status"/>
  </x:tableColumns>
  <x:tableStyleInfo name="TableStyleMedium2" showRowStripes="1"/>
</x:table>
</file>

<file path=xl/tables/table2.xml><?xml version="1.0" encoding="utf-8"?>
<x:table xmlns:x="http://schemas.openxmlformats.org/spreadsheetml/2006/main" id="2" name="CaseStudyBriefsTable" displayName="CaseStudyBriefsTable" ref="A4:O12" headerRowCount="1">
  <x:tableColumns count="15">
    <x:tableColumn id="1" name="Rank"/>
    <x:tableColumn id="2" name="Project ID"/>
    <x:tableColumn id="3" name="Project"/>
    <x:tableColumn id="4" name="Portfolio Placement"/>
    <x:tableColumn id="5" name="Suggested Case-Study Title"/>
    <x:tableColumn id="6" name="Recruiter Signal"/>
    <x:tableColumn id="7" name="Card Copy (40–55 words)"/>
    <x:tableColumn id="8" name="Challenge / Context"/>
    <x:tableColumn id="9" name="What I Did"/>
    <x:tableColumn id="10" name="Key Decisions / Features"/>
    <x:tableColumn id="11" name="Result / Proof (do not invent)"/>
    <x:tableColumn id="12" name="Essential Visual Sequence"/>
    <x:tableColumn id="13" name="Evidence to Capture"/>
    <x:tableColumn id="14" name="Source / Links"/>
    <x:tableColumn id="15" name="Status"/>
  </x:tableColumns>
  <x:tableStyleInfo name="TableStyleMedium2" showRowStripes="1"/>
</x:table>
</file>

<file path=xl/tables/table3.xml><?xml version="1.0" encoding="utf-8"?>
<x:table xmlns:x="http://schemas.openxmlformats.org/spreadsheetml/2006/main" id="3" name="AssetsEvidenceTable" displayName="AssetsEvidenceTable" ref="A4:K36" headerRowCount="1">
  <x:tableColumns count="11">
    <x:tableColumn id="1" name="Asset ID"/>
    <x:tableColumn id="2" name="Project ID"/>
    <x:tableColumn id="3" name="Project"/>
    <x:tableColumn id="4" name="Asset Group"/>
    <x:tableColumn id="5" name="Required Asset"/>
    <x:tableColumn id="6" name="Why It Matters"/>
    <x:tableColumn id="7" name="Recommended Format / Size"/>
    <x:tableColumn id="8" name="Suggested File Name"/>
    <x:tableColumn id="9" name="Where to Pull It From"/>
    <x:tableColumn id="10" name="Status"/>
    <x:tableColumn id="11" name="Next Action"/>
  </x:tableColumns>
  <x:tableStyleInfo name="TableStyleMedium2" showRowStripes="1"/>
</x:table>
</file>

<file path=xl/tables/table4.xml><?xml version="1.0" encoding="utf-8"?>
<x:table xmlns:x="http://schemas.openxmlformats.org/spreadsheetml/2006/main" id="4" name="WebsiteMapTable" displayName="WebsiteMapTable" ref="A4:H14" headerRowCount="1">
  <x:tableColumns count="8">
    <x:tableColumn id="1" name="Page / Section"/>
    <x:tableColumn id="2" name="Purpose"/>
    <x:tableColumn id="3" name="Primary Content"/>
    <x:tableColumn id="4" name="Projects / Sources"/>
    <x:tableColumn id="5" name="Recruiter Signal"/>
    <x:tableColumn id="6" name="Visual Direction"/>
    <x:tableColumn id="7" name="Content Status"/>
    <x:tableColumn id="8" name="Next Action"/>
  </x:tableColumns>
  <x:tableStyleInfo name="TableStyleMedium2" showRowStripes="1"/>
</x:table>
</file>

<file path=xl/tables/table5.xml><?xml version="1.0" encoding="utf-8"?>
<x:table xmlns:x="http://schemas.openxmlformats.org/spreadsheetml/2006/main" id="5" name="EditorialVideoTable" displayName="EditorialVideoTable" ref="A4:J15" headerRowCount="1">
  <x:tableColumns count="10">
    <x:tableColumn id="1" name="Content ID"/>
    <x:tableColumn id="2" name="Title"/>
    <x:tableColumn id="3" name="Format"/>
    <x:tableColumn id="4" name="Published / Status"/>
    <x:tableColumn id="5" name="Theme"/>
    <x:tableColumn id="6" name="Why It Helps the Portfolio"/>
    <x:tableColumn id="7" name="Recommended Website Placement"/>
    <x:tableColumn id="8" name="Suggested Visual Treatment"/>
    <x:tableColumn id="9" name="Source URL"/>
    <x:tableColumn id="10" name="Verification / Next Step"/>
  </x:tableColumns>
  <x:tableStyleInfo name="TableStyleMedium2" showRowStripes="1"/>
</x:table>
</file>

<file path=xl/tables/table6.xml><?xml version="1.0" encoding="utf-8"?>
<x:table xmlns:x="http://schemas.openxmlformats.org/spreadsheetml/2006/main" id="6" name="SourceArchiveTable" displayName="SourceArchiveTable" ref="A4:K73" headerRowCount="1">
  <x:tableColumns count="11">
    <x:tableColumn id="1" name="Source ID"/>
    <x:tableColumn id="2" name="Platform"/>
    <x:tableColumn id="3" name="Work / Item Title"/>
    <x:tableColumn id="4" name="Content Type"/>
    <x:tableColumn id="5" name="Published / Updated"/>
    <x:tableColumn id="6" name="Source URL"/>
    <x:tableColumn id="7" name="Public Description / Evidence"/>
    <x:tableColumn id="8" name="Record Status"/>
    <x:tableColumn id="9" name="Master Project Link"/>
    <x:tableColumn id="10" name="Portfolio Recommendation"/>
    <x:tableColumn id="11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736869f09634c1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1972bef38f3440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c8f30c4f598493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26d3dc89e97455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aeb22102bce34a8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64438fc0fe054a21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31" hidden="0" customWidth="1"/>
    <x:col min="3" max="3" width="16" hidden="0" customWidth="1"/>
    <x:col min="4" max="4" width="18" hidden="0" customWidth="1"/>
    <x:col min="5" max="5" width="38" hidden="0" customWidth="1"/>
    <x:col min="6" max="6" width="42" hidden="0" customWidth="1"/>
    <x:col min="7" max="7" width="13" hidden="0" customWidth="1"/>
    <x:col min="8" max="8" width="26" hidden="0" customWidth="1"/>
    <x:col min="9" max="9" width="14" hidden="0" customWidth="1"/>
    <x:col min="10" max="10" width="28" hidden="0" customWidth="1"/>
    <x:col min="11" max="11" width="28" hidden="0" customWidth="1"/>
    <x:col min="12" max="12" width="25" hidden="0" customWidth="1"/>
    <x:col min="13" max="13" width="34" hidden="0" customWidth="1"/>
    <x:col min="14" max="14" width="33" hidden="0" customWidth="1"/>
    <x:col min="15" max="15" width="36" hidden="0" customWidth="1"/>
    <x:col min="16" max="16" width="11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1" hidden="0" customWidth="1"/>
    <x:col min="24" max="24" width="11" hidden="0" customWidth="1"/>
    <x:col min="25" max="25" width="12" hidden="0" customWidth="1"/>
    <x:col min="26" max="26" width="13" hidden="0" customWidth="1"/>
    <x:col min="27" max="27" width="11" hidden="0" customWidth="1"/>
    <x:col min="28" max="28" width="11" hidden="0" customWidth="1"/>
    <x:col min="29" max="29" width="12" hidden="0" customWidth="1"/>
    <x:col min="30" max="30" width="12" hidden="0" customWidth="1"/>
    <x:col min="31" max="31" width="12" hidden="0" customWidth="1"/>
    <x:col min="32" max="32" width="22" hidden="0" customWidth="1"/>
    <x:col min="33" max="33" width="21" hidden="0" customWidth="1"/>
    <x:col min="34" max="34" width="38" hidden="0" customWidth="1"/>
    <x:col min="35" max="35" width="34" hidden="0" customWidth="1"/>
  </x:cols>
  <x:sheetData>
    <x:row r="1" ht="28" customHeight="1">
      <x:c r="A1" s="5" t="str">
        <x:v>Joseph Masonda — Portfolio Content System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  <x:c r="AE1" s="5"/>
      <x:c r="AF1" s="5"/>
      <x:c r="AG1" s="5"/>
      <x:c r="AH1" s="5"/>
      <x:c r="AI1" s="5"/>
    </x:row>
    <x:row r="2" ht="34" customHeight="1">
      <x:c r="A2" s="13" t="str">
        <x:v>Purpose: decide what belongs on the website, collect proof, and turn the strongest work into recruiter-ready case studies. Scores are planning recommendations, not public performance claims. Update the evidence fields as you collect final assets.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  <x:c r="T2" s="13"/>
      <x:c r="U2" s="13"/>
      <x:c r="V2" s="13"/>
      <x:c r="W2" s="13"/>
      <x:c r="X2" s="13"/>
      <x:c r="Y2" s="13"/>
      <x:c r="Z2" s="13"/>
      <x:c r="AA2" s="13"/>
      <x:c r="AB2" s="13"/>
      <x:c r="AC2" s="13"/>
      <x:c r="AD2" s="13"/>
      <x:c r="AE2" s="13"/>
      <x:c r="AF2" s="13"/>
      <x:c r="AG2" s="13"/>
      <x:c r="AH2" s="13"/>
      <x:c r="AI2" s="13"/>
    </x:row>
    <x:row r="4" ht="34" customHeight="1">
      <x:c r="A4" s="22" t="str">
        <x:v>Project ID</x:v>
      </x:c>
      <x:c r="B4" s="22" t="str">
        <x:v>Project / Content Title</x:v>
      </x:c>
      <x:c r="C4" s="22" t="str">
        <x:v>Type</x:v>
      </x:c>
      <x:c r="D4" s="22" t="str">
        <x:v>Source Platform(s)</x:v>
      </x:c>
      <x:c r="E4" s="22" t="str">
        <x:v>Source Record URL</x:v>
      </x:c>
      <x:c r="F4" s="22" t="str">
        <x:v>Live / Repo / Read URL</x:v>
      </x:c>
      <x:c r="G4" s="22" t="str">
        <x:v>Date / Year</x:v>
      </x:c>
      <x:c r="H4" s="22" t="str">
        <x:v>Client / Organisation / Sector</x:v>
      </x:c>
      <x:c r="I4" s="22" t="str">
        <x:v>Status</x:v>
      </x:c>
      <x:c r="J4" s="22" t="str">
        <x:v>Role / Contribution</x:v>
      </x:c>
      <x:c r="K4" s="22" t="str">
        <x:v>Capabilities Shown</x:v>
      </x:c>
      <x:c r="L4" s="22" t="str">
        <x:v>Tools / Stack</x:v>
      </x:c>
      <x:c r="M4" s="22" t="str">
        <x:v>Problem / Goal</x:v>
      </x:c>
      <x:c r="N4" s="22" t="str">
        <x:v>Portfolio Story Angle</x:v>
      </x:c>
      <x:c r="O4" s="22" t="str">
        <x:v>Public Evidence / Result</x:v>
      </x:c>
      <x:c r="P4" s="22" t="str">
        <x:v>Hero / Cover</x:v>
      </x:c>
      <x:c r="Q4" s="22" t="str">
        <x:v>Screens / Visuals</x:v>
      </x:c>
      <x:c r="R4" s="22" t="str">
        <x:v>Brief / Context</x:v>
      </x:c>
      <x:c r="S4" s="22" t="str">
        <x:v>Process Evidence</x:v>
      </x:c>
      <x:c r="T4" s="22" t="str">
        <x:v>Results / Metrics</x:v>
      </x:c>
      <x:c r="U4" s="22" t="str">
        <x:v>Live Demo / Link</x:v>
      </x:c>
      <x:c r="V4" s="22" t="str">
        <x:v>Permission</x:v>
      </x:c>
      <x:c r="W4" s="22" t="str">
        <x:v>Recruiter Relevance
(1–5)</x:v>
      </x:c>
      <x:c r="X4" s="22" t="str">
        <x:v>Visual Impact
(1–5)</x:v>
      </x:c>
      <x:c r="Y4" s="22" t="str">
        <x:v>Strategy Depth
(1–5)</x:v>
      </x:c>
      <x:c r="Z4" s="22" t="str">
        <x:v>Craft / Functional Depth
(1–5)</x:v>
      </x:c>
      <x:c r="AA4" s="22" t="str">
        <x:v>Result Proof
(1–5)</x:v>
      </x:c>
      <x:c r="AB4" s="22" t="str">
        <x:v>Role Clarity
(1–5)</x:v>
      </x:c>
      <x:c r="AC4" s="22" t="str">
        <x:v>Distinctiveness
(1–5)</x:v>
      </x:c>
      <x:c r="AD4" s="22" t="str">
        <x:v>Readiness Score
(formula)</x:v>
      </x:c>
      <x:c r="AE4" s="22" t="str">
        <x:v>Showcase Score
(formula)</x:v>
      </x:c>
      <x:c r="AF4" s="22" t="str">
        <x:v>Priority
(formula)</x:v>
      </x:c>
      <x:c r="AG4" s="22" t="str">
        <x:v>Recommended Website Placement</x:v>
      </x:c>
      <x:c r="AH4" s="22" t="str">
        <x:v>Missing Material / Next Step</x:v>
      </x:c>
      <x:c r="AI4" s="22" t="str">
        <x:v>Verification Status</x:v>
      </x:c>
    </x:row>
    <x:row r="5">
      <x:c r="A5" s="32" t="str">
        <x:v>PT-001</x:v>
      </x:c>
      <x:c r="B5" s="33" t="str">
        <x:v>AfrONet — African Organic Network</x:v>
      </x:c>
      <x:c r="C5" s="33" t="str">
        <x:v>Website</x:v>
      </x:c>
      <x:c r="D5" s="33" t="str">
        <x:v>Contra; GitHub</x:v>
      </x:c>
      <x:c r="E5" s="33" t="str">
        <x:v>https://contra.com/joseph_masonda_97192rn2/work</x:v>
      </x:c>
      <x:c r="F5" s="33" t="str">
        <x:v>https://afronet.bio | https://github.com/jkidune/afronet-web</x:v>
      </x:c>
      <x:c r="G5" s="48" t="n">
        <x:v>46189</x:v>
      </x:c>
      <x:c r="H5" s="33" t="str">
        <x:v>NGO / organic agriculture / Pan-African network</x:v>
      </x:c>
      <x:c r="I5" s="33" t="str">
        <x:v>Live</x:v>
      </x:c>
      <x:c r="J5" s="33" t="str">
        <x:v>Web designer/developer — verify final contribution scope</x:v>
      </x:c>
      <x:c r="K5" s="33" t="str">
        <x:v>Editorial web design; information architecture; CMS; responsive development</x:v>
      </x:c>
      <x:c r="L5" s="33" t="str">
        <x:v>TypeScript / Next.js; headless CMS (verify exact setup)</x:v>
      </x:c>
      <x:c r="M5" s="33" t="str">
        <x:v>The organisation needed a credible, structured digital home that reflects the scale of its organic agriculture mission.</x:v>
      </x:c>
      <x:c r="N5" s="33" t="str">
        <x:v>Designing digital credibility for an African network working across policy, farming, and markets.</x:v>
      </x:c>
      <x:c r="O5" s="33" t="str">
        <x:v>Public portfolio description says the site supports a clearer mission narrative and real-time publishing; add analytics, enquiry, and editorial cadence evidence.</x:v>
      </x:c>
      <x:c r="P5" s="33" t="str">
        <x:v>Ready</x:v>
      </x:c>
      <x:c r="Q5" s="33" t="str">
        <x:v>Ready</x:v>
      </x:c>
      <x:c r="R5" s="33" t="str">
        <x:v>Ready</x:v>
      </x:c>
      <x:c r="S5" s="33" t="str">
        <x:v>Partial</x:v>
      </x:c>
      <x:c r="T5" s="33" t="str">
        <x:v>Need</x:v>
      </x:c>
      <x:c r="U5" s="33" t="str">
        <x:v>Ready</x:v>
      </x:c>
      <x:c r="V5" s="33" t="str">
        <x:v>Need</x:v>
      </x:c>
      <x:c r="W5" s="54" t="n">
        <x:v>5</x:v>
      </x:c>
      <x:c r="X5" s="54" t="n">
        <x:v>5</x:v>
      </x:c>
      <x:c r="Y5" s="54" t="n">
        <x:v>5</x:v>
      </x:c>
      <x:c r="Z5" s="54" t="n">
        <x:v>4</x:v>
      </x:c>
      <x:c r="AA5" s="54" t="n">
        <x:v>2</x:v>
      </x:c>
      <x:c r="AB5" s="54" t="n">
        <x:v>3</x:v>
      </x:c>
      <x:c r="AC5" s="54" t="n">
        <x:v>5</x:v>
      </x:c>
      <x:c r="AD5" s="60" t="n">
        <x:f>COUNTIF(P5:V5,"Ready")*2+COUNTIF(P5:V5,"Partial")</x:f>
        <x:v>9</x:v>
      </x:c>
      <x:c r="AE5" s="60" t="n">
        <x:f>SUM(W5:AC5)+AD5</x:f>
        <x:v>38</x:v>
      </x:c>
      <x:c r="AF5" s="60" t="str">
        <x:f>IF(AE5&gt;=35,"A — Featured candidate",IF(AE5&gt;=28,"B — Work grid","C — Archive / support"))</x:f>
        <x:v>A — Featured candidate</x:v>
      </x:c>
      <x:c r="AG5" s="33" t="str">
        <x:v>Featured case study</x:v>
      </x:c>
      <x:c r="AH5" s="33" t="str">
        <x:v>Capture 1 desktop hero, 3 key page sections, 3 mobile screens, CMS proof, measurable engagement, and client approval.</x:v>
      </x:c>
      <x:c r="AI5" s="34" t="str">
        <x:v>Public source verified; scope and outcome metrics need confirmation.</x:v>
      </x:c>
    </x:row>
    <x:row r="6">
      <x:c r="A6" s="35" t="str">
        <x:v>PT-002</x:v>
      </x:c>
      <x:c r="B6" s="30" t="str">
        <x:v>Barons Digital — Agency Website</x:v>
      </x:c>
      <x:c r="C6" s="30" t="str">
        <x:v>Website</x:v>
      </x:c>
      <x:c r="D6" s="30" t="str">
        <x:v>GitHub; Behance</x:v>
      </x:c>
      <x:c r="E6" s="30" t="str">
        <x:v>https://github.com/jkidune/barons-digital</x:v>
      </x:c>
      <x:c r="F6" s="30" t="str">
        <x:v>https://www.baronsdigital.com | https://github.com/jkidune/barons-digital</x:v>
      </x:c>
      <x:c r="G6" s="49" t="n">
        <x:v>46186</x:v>
      </x:c>
      <x:c r="H6" s="30" t="str">
        <x:v>Barons Digital / creative and digital agency</x:v>
      </x:c>
      <x:c r="I6" s="30" t="str">
        <x:v>Live</x:v>
      </x:c>
      <x:c r="J6" s="30" t="str">
        <x:v>Website creator / agency representative — verify exact scope</x:v>
      </x:c>
      <x:c r="K6" s="30" t="str">
        <x:v>Agency positioning; portfolio UX; CMS architecture; responsive web build</x:v>
      </x:c>
      <x:c r="L6" s="30" t="str">
        <x:v>TypeScript / Next.js; Sanity; responsive UI</x:v>
      </x:c>
      <x:c r="M6" s="30" t="str">
        <x:v>An agency site must convert credibility, capability, and proof into an immediate reason to get in touch.</x:v>
      </x:c>
      <x:c r="N6" s="30" t="str">
        <x:v>Building the shop window for a digital studio: editorial work, clear service pathways, and scalable portfolio content.</x:v>
      </x:c>
      <x:c r="O6" s="30" t="str">
        <x:v>Repository describes it as an agency website and includes Next.js/Sanity configuration; add live traffic, enquiries, and business impact.</x:v>
      </x:c>
      <x:c r="P6" s="30" t="str">
        <x:v>Partial</x:v>
      </x:c>
      <x:c r="Q6" s="30" t="str">
        <x:v>Ready</x:v>
      </x:c>
      <x:c r="R6" s="30" t="str">
        <x:v>Partial</x:v>
      </x:c>
      <x:c r="S6" s="30" t="str">
        <x:v>Partial</x:v>
      </x:c>
      <x:c r="T6" s="30" t="str">
        <x:v>Need</x:v>
      </x:c>
      <x:c r="U6" s="30" t="str">
        <x:v>Partial</x:v>
      </x:c>
      <x:c r="V6" s="30" t="str">
        <x:v>Need</x:v>
      </x:c>
      <x:c r="W6" s="55" t="n">
        <x:v>5</x:v>
      </x:c>
      <x:c r="X6" s="55" t="n">
        <x:v>5</x:v>
      </x:c>
      <x:c r="Y6" s="55" t="n">
        <x:v>5</x:v>
      </x:c>
      <x:c r="Z6" s="55" t="n">
        <x:v>4</x:v>
      </x:c>
      <x:c r="AA6" s="55" t="n">
        <x:v>2</x:v>
      </x:c>
      <x:c r="AB6" s="55" t="n">
        <x:v>3</x:v>
      </x:c>
      <x:c r="AC6" s="55" t="n">
        <x:v>5</x:v>
      </x:c>
      <x:c r="AD6" s="61" t="n">
        <x:f>COUNTIF(P6:V6,"Ready")*2+COUNTIF(P6:V6,"Partial")</x:f>
        <x:v>6</x:v>
      </x:c>
      <x:c r="AE6" s="61" t="n">
        <x:f>SUM(W6:AC6)+AD6</x:f>
        <x:v>35</x:v>
      </x:c>
      <x:c r="AF6" s="61" t="str">
        <x:f>IF(AE6&gt;=35,"A — Featured candidate",IF(AE6&gt;=28,"B — Work grid","C — Archive / support"))</x:f>
        <x:v>A — Featured candidate</x:v>
      </x:c>
      <x:c r="AG6" s="30" t="str">
        <x:v>Featured case study</x:v>
      </x:c>
      <x:c r="AH6" s="30" t="str">
        <x:v>Document business goal, information architecture, CMS models, launch screenshots, and a before/after comparison.</x:v>
      </x:c>
      <x:c r="AI6" s="36" t="str">
        <x:v>Public source verified; business outcome and authorship scope need confirmation.</x:v>
      </x:c>
    </x:row>
    <x:row r="7">
      <x:c r="A7" s="35" t="str">
        <x:v>PT-003</x:v>
      </x:c>
      <x:c r="B7" s="30" t="str">
        <x:v>MARCA LUNA — Editorial Photographer Portfolio</x:v>
      </x:c>
      <x:c r="C7" s="30" t="str">
        <x:v>Website / Template</x:v>
      </x:c>
      <x:c r="D7" s="30" t="str">
        <x:v>Contra; GitHub</x:v>
      </x:c>
      <x:c r="E7" s="30" t="str">
        <x:v>https://contra.com/joseph_masonda_97192rn2/work</x:v>
      </x:c>
      <x:c r="F7" s="30" t="str">
        <x:v>https://marc-luna-portfolio-pi.vercel.app | https://github.com/jkidune/marc-luna-portfolio</x:v>
      </x:c>
      <x:c r="G7" s="49" t="n">
        <x:v>46123</x:v>
      </x:c>
      <x:c r="H7" s="30" t="str">
        <x:v>Personal concept / photographer portfolio</x:v>
      </x:c>
      <x:c r="I7" s="30" t="str">
        <x:v>Personal</x:v>
      </x:c>
      <x:c r="J7" s="30" t="str">
        <x:v>Designer and developer</x:v>
      </x:c>
      <x:c r="K7" s="30" t="str">
        <x:v>Editorial art direction; portfolio UX; 3D perspective transitions; headless CMS; performance interaction</x:v>
      </x:c>
      <x:c r="L7" s="30" t="str">
        <x:v>TypeScript; Next.js; Sanity; animation / interaction design</x:v>
      </x:c>
      <x:c r="M7" s="30" t="str">
        <x:v>Many creative portfolios are flat and dated, so the work loses atmosphere and clients move on.</x:v>
      </x:c>
      <x:c r="N7" s="30" t="str">
        <x:v>Turning a photography portfolio into a cinematic digital gallery rather than a simple image grid.</x:v>
      </x:c>
      <x:c r="O7" s="30" t="str">
        <x:v>Contra description documents 3D perspective transitions, a Sanity CMS, responsive animation, and a cinematic works interaction; no quantitative results published.</x:v>
      </x:c>
      <x:c r="P7" s="30" t="str">
        <x:v>Ready</x:v>
      </x:c>
      <x:c r="Q7" s="30" t="str">
        <x:v>Ready</x:v>
      </x:c>
      <x:c r="R7" s="30" t="str">
        <x:v>Ready</x:v>
      </x:c>
      <x:c r="S7" s="30" t="str">
        <x:v>Ready</x:v>
      </x:c>
      <x:c r="T7" s="30" t="str">
        <x:v>Need</x:v>
      </x:c>
      <x:c r="U7" s="30" t="str">
        <x:v>Ready</x:v>
      </x:c>
      <x:c r="V7" s="30" t="str">
        <x:v>N/A</x:v>
      </x:c>
      <x:c r="W7" s="55" t="n">
        <x:v>5</x:v>
      </x:c>
      <x:c r="X7" s="55" t="n">
        <x:v>5</x:v>
      </x:c>
      <x:c r="Y7" s="55" t="n">
        <x:v>5</x:v>
      </x:c>
      <x:c r="Z7" s="55" t="n">
        <x:v>5</x:v>
      </x:c>
      <x:c r="AA7" s="55" t="n">
        <x:v>2</x:v>
      </x:c>
      <x:c r="AB7" s="55" t="n">
        <x:v>5</x:v>
      </x:c>
      <x:c r="AC7" s="55" t="n">
        <x:v>5</x:v>
      </x:c>
      <x:c r="AD7" s="61" t="n">
        <x:f>COUNTIF(P7:V7,"Ready")*2+COUNTIF(P7:V7,"Partial")</x:f>
        <x:v>10</x:v>
      </x:c>
      <x:c r="AE7" s="61" t="n">
        <x:f>SUM(W7:AC7)+AD7</x:f>
        <x:v>42</x:v>
      </x:c>
      <x:c r="AF7" s="61" t="str">
        <x:f>IF(AE7&gt;=35,"A — Featured candidate",IF(AE7&gt;=28,"B — Work grid","C — Archive / support"))</x:f>
        <x:v>A — Featured candidate</x:v>
      </x:c>
      <x:c r="AG7" s="30" t="str">
        <x:v>Featured case study</x:v>
      </x:c>
      <x:c r="AH7" s="30" t="str">
        <x:v>Record 20–30 second interaction video, show CMS editor, explain performance decisions, and add a concise build diagram.</x:v>
      </x:c>
      <x:c r="AI7" s="36" t="str">
        <x:v>Public source verified; results are not yet documented.</x:v>
      </x:c>
    </x:row>
    <x:row r="8">
      <x:c r="A8" s="35" t="str">
        <x:v>PT-004</x:v>
      </x:c>
      <x:c r="B8" s="30" t="str">
        <x:v>Solura — Clean Energy Website</x:v>
      </x:c>
      <x:c r="C8" s="30" t="str">
        <x:v>Website</x:v>
      </x:c>
      <x:c r="D8" s="30" t="str">
        <x:v>Contra</x:v>
      </x:c>
      <x:c r="E8" s="30" t="str">
        <x:v>https://contra.com/p/W6BF3RLQ-framer-website-design-solura</x:v>
      </x:c>
      <x:c r="F8" s="30" t="str">
        <x:v>https://solura.framer.website</x:v>
      </x:c>
      <x:c r="G8" s="49" t="n">
        <x:v>45769</x:v>
      </x:c>
      <x:c r="H8" s="30" t="str">
        <x:v>Solura / clean energy (personal project)</x:v>
      </x:c>
      <x:c r="I8" s="30" t="str">
        <x:v>Personal</x:v>
      </x:c>
      <x:c r="J8" s="30" t="str">
        <x:v>Framer designer / website designer</x:v>
      </x:c>
      <x:c r="K8" s="30" t="str">
        <x:v>Conversion UX; clean-energy storytelling; CMS; case-study structure; responsive web design</x:v>
      </x:c>
      <x:c r="L8" s="30" t="str">
        <x:v>Framer; custom CMS; AI-generated imagery</x:v>
      </x:c>
      <x:c r="M8" s="30" t="str">
        <x:v>The site needed to explain solar products, build confidence in an emerging service, and guide visitors toward consultation.</x:v>
      </x:c>
      <x:c r="N8" s="30" t="str">
        <x:v>Making clean-energy technology feel human, understandable, and ready for action.</x:v>
      </x:c>
      <x:c r="O8" s="30" t="str">
        <x:v>Public case study describes a responsive Framer landing page, CMS-driven services/case studies, consultation path, and SEO-friendly content structure.</x:v>
      </x:c>
      <x:c r="P8" s="30" t="str">
        <x:v>Ready</x:v>
      </x:c>
      <x:c r="Q8" s="30" t="str">
        <x:v>Ready</x:v>
      </x:c>
      <x:c r="R8" s="30" t="str">
        <x:v>Ready</x:v>
      </x:c>
      <x:c r="S8" s="30" t="str">
        <x:v>Ready</x:v>
      </x:c>
      <x:c r="T8" s="30" t="str">
        <x:v>Need</x:v>
      </x:c>
      <x:c r="U8" s="30" t="str">
        <x:v>Ready</x:v>
      </x:c>
      <x:c r="V8" s="30" t="str">
        <x:v>N/A</x:v>
      </x:c>
      <x:c r="W8" s="55" t="n">
        <x:v>5</x:v>
      </x:c>
      <x:c r="X8" s="55" t="n">
        <x:v>4</x:v>
      </x:c>
      <x:c r="Y8" s="55" t="n">
        <x:v>4</x:v>
      </x:c>
      <x:c r="Z8" s="55" t="n">
        <x:v>4</x:v>
      </x:c>
      <x:c r="AA8" s="55" t="n">
        <x:v>2</x:v>
      </x:c>
      <x:c r="AB8" s="55" t="n">
        <x:v>4</x:v>
      </x:c>
      <x:c r="AC8" s="55" t="n">
        <x:v>4</x:v>
      </x:c>
      <x:c r="AD8" s="61" t="n">
        <x:f>COUNTIF(P8:V8,"Ready")*2+COUNTIF(P8:V8,"Partial")</x:f>
        <x:v>10</x:v>
      </x:c>
      <x:c r="AE8" s="61" t="n">
        <x:f>SUM(W8:AC8)+AD8</x:f>
        <x:v>37</x:v>
      </x:c>
      <x:c r="AF8" s="61" t="str">
        <x:f>IF(AE8&gt;=35,"A — Featured candidate",IF(AE8&gt;=28,"B — Work grid","C — Archive / support"))</x:f>
        <x:v>A — Featured candidate</x:v>
      </x:c>
      <x:c r="AG8" s="30" t="str">
        <x:v>Featured case study</x:v>
      </x:c>
      <x:c r="AH8" s="30" t="str">
        <x:v>Add a three-frame user journey, case-study CMS model, and any landing-page conversion or usability feedback.</x:v>
      </x:c>
      <x:c r="AI8" s="36" t="str">
        <x:v>Public source verified; personal project and no quantified outcomes published.</x:v>
      </x:c>
    </x:row>
    <x:row r="9">
      <x:c r="A9" s="35" t="str">
        <x:v>PT-005</x:v>
      </x:c>
      <x:c r="B9" s="30" t="str">
        <x:v>MedicoCare — Framer Website Development</x:v>
      </x:c>
      <x:c r="C9" s="30" t="str">
        <x:v>Website</x:v>
      </x:c>
      <x:c r="D9" s="30" t="str">
        <x:v>Contra</x:v>
      </x:c>
      <x:c r="E9" s="30" t="str">
        <x:v>https://contra.com/p/emONR2vo-medico-care-framer-website-development</x:v>
      </x:c>
      <x:c r="F9" s="30" t="str">
        <x:v>https://medicocare.framer.website</x:v>
      </x:c>
      <x:c r="G9" s="49" t="n">
        <x:v>45757</x:v>
      </x:c>
      <x:c r="H9" s="30" t="str">
        <x:v>MedicoCare / healthcare</x:v>
      </x:c>
      <x:c r="I9" s="30" t="str">
        <x:v>Completed</x:v>
      </x:c>
      <x:c r="J9" s="30" t="str">
        <x:v>Lead designer and developer</x:v>
      </x:c>
      <x:c r="K9" s="30" t="str">
        <x:v>Healthcare UX; research; wireframes; responsive design; appointment scheduling UX</x:v>
      </x:c>
      <x:c r="L9" s="30" t="str">
        <x:v>Figma; Framer; Adobe Photoshop</x:v>
      </x:c>
      <x:c r="M9" s="30" t="str">
        <x:v>Create an intuitive, accessible healthcare platform for service discovery, navigation, and appointment scheduling.</x:v>
      </x:c>
      <x:c r="N9" s="30" t="str">
        <x:v>From research and wireframes to a trustworthy, mobile-ready healthcare experience.</x:v>
      </x:c>
      <x:c r="O9" s="30" t="str">
        <x:v>Public case study states the site launched and received positive feedback for ease of use and modern design; add actual feedback quotes and engagement indicators.</x:v>
      </x:c>
      <x:c r="P9" s="30" t="str">
        <x:v>Ready</x:v>
      </x:c>
      <x:c r="Q9" s="30" t="str">
        <x:v>Ready</x:v>
      </x:c>
      <x:c r="R9" s="30" t="str">
        <x:v>Ready</x:v>
      </x:c>
      <x:c r="S9" s="30" t="str">
        <x:v>Ready</x:v>
      </x:c>
      <x:c r="T9" s="30" t="str">
        <x:v>Partial</x:v>
      </x:c>
      <x:c r="U9" s="30" t="str">
        <x:v>Ready</x:v>
      </x:c>
      <x:c r="V9" s="30" t="str">
        <x:v>Need</x:v>
      </x:c>
      <x:c r="W9" s="55" t="n">
        <x:v>5</x:v>
      </x:c>
      <x:c r="X9" s="55" t="n">
        <x:v>4</x:v>
      </x:c>
      <x:c r="Y9" s="55" t="n">
        <x:v>4</x:v>
      </x:c>
      <x:c r="Z9" s="55" t="n">
        <x:v>4</x:v>
      </x:c>
      <x:c r="AA9" s="55" t="n">
        <x:v>3</x:v>
      </x:c>
      <x:c r="AB9" s="55" t="n">
        <x:v>5</x:v>
      </x:c>
      <x:c r="AC9" s="55" t="n">
        <x:v>4</x:v>
      </x:c>
      <x:c r="AD9" s="61" t="n">
        <x:f>COUNTIF(P9:V9,"Ready")*2+COUNTIF(P9:V9,"Partial")</x:f>
        <x:v>11</x:v>
      </x:c>
      <x:c r="AE9" s="61" t="n">
        <x:f>SUM(W9:AC9)+AD9</x:f>
        <x:v>40</x:v>
      </x:c>
      <x:c r="AF9" s="61" t="str">
        <x:f>IF(AE9&gt;=35,"A — Featured candidate",IF(AE9&gt;=28,"B — Work grid","C — Archive / support"))</x:f>
        <x:v>A — Featured candidate</x:v>
      </x:c>
      <x:c r="AG9" s="30" t="str">
        <x:v>Featured case study</x:v>
      </x:c>
      <x:c r="AH9" s="30" t="str">
        <x:v>Capture research notes, Figma wireframes, appointment journey, responsive comparison, client quote, and launch result.</x:v>
      </x:c>
      <x:c r="AI9" s="36" t="str">
        <x:v>Public source verified; permission and measurable outcomes need confirmation.</x:v>
      </x:c>
    </x:row>
    <x:row r="10">
      <x:c r="A10" s="35" t="str">
        <x:v>PT-006</x:v>
      </x:c>
      <x:c r="B10" s="30" t="str">
        <x:v>Momentum Coach — High-Converting Landing Page</x:v>
      </x:c>
      <x:c r="C10" s="30" t="str">
        <x:v>Website</x:v>
      </x:c>
      <x:c r="D10" s="30" t="str">
        <x:v>Contra</x:v>
      </x:c>
      <x:c r="E10" s="30" t="str">
        <x:v>https://contra.com/p/6XB6gbX6-momentum-coach-website-development</x:v>
      </x:c>
      <x:c r="F10" s="30" t="str">
        <x:v>https://contra.com/p/6XB6gbX6-momentum-coach-website-development</x:v>
      </x:c>
      <x:c r="G10" s="49" t="n">
        <x:v>45757</x:v>
      </x:c>
      <x:c r="H10" s="30" t="str">
        <x:v>Momentum Coach / coaching</x:v>
      </x:c>
      <x:c r="I10" s="30" t="str">
        <x:v>Personal</x:v>
      </x:c>
      <x:c r="J10" s="30" t="str">
        <x:v>Designer and developer</x:v>
      </x:c>
      <x:c r="K10" s="30" t="str">
        <x:v>Landing page strategy; conversion UX; content hierarchy; visual concepting; brand direction</x:v>
      </x:c>
      <x:c r="L10" s="30" t="str">
        <x:v>Figma; Adobe Photoshop; Framer</x:v>
      </x:c>
      <x:c r="M10" s="30" t="str">
        <x:v>Help busy professionals quickly understand the offer, trust the coach, and book a consultation.</x:v>
      </x:c>
      <x:c r="N10" s="30" t="str">
        <x:v>Designing a conversion page around real visitor questions, not just a polished layout.</x:v>
      </x:c>
      <x:c r="O10" s="30" t="str">
        <x:v>Public case study documents the page structure, user needs, logical booking flow, wireframing, and visual decisions; expected impact is stated, not measured.</x:v>
      </x:c>
      <x:c r="P10" s="30" t="str">
        <x:v>Ready</x:v>
      </x:c>
      <x:c r="Q10" s="30" t="str">
        <x:v>Ready</x:v>
      </x:c>
      <x:c r="R10" s="30" t="str">
        <x:v>Ready</x:v>
      </x:c>
      <x:c r="S10" s="30" t="str">
        <x:v>Ready</x:v>
      </x:c>
      <x:c r="T10" s="30" t="str">
        <x:v>Need</x:v>
      </x:c>
      <x:c r="U10" s="30" t="str">
        <x:v>Partial</x:v>
      </x:c>
      <x:c r="V10" s="30" t="str">
        <x:v>N/A</x:v>
      </x:c>
      <x:c r="W10" s="55" t="n">
        <x:v>5</x:v>
      </x:c>
      <x:c r="X10" s="55" t="n">
        <x:v>4</x:v>
      </x:c>
      <x:c r="Y10" s="55" t="n">
        <x:v>5</x:v>
      </x:c>
      <x:c r="Z10" s="55" t="n">
        <x:v>4</x:v>
      </x:c>
      <x:c r="AA10" s="55" t="n">
        <x:v>2</x:v>
      </x:c>
      <x:c r="AB10" s="55" t="n">
        <x:v>5</x:v>
      </x:c>
      <x:c r="AC10" s="55" t="n">
        <x:v>4</x:v>
      </x:c>
      <x:c r="AD10" s="61" t="n">
        <x:f>COUNTIF(P10:V10,"Ready")*2+COUNTIF(P10:V10,"Partial")</x:f>
        <x:v>9</x:v>
      </x:c>
      <x:c r="AE10" s="61" t="n">
        <x:f>SUM(W10:AC10)+AD10</x:f>
        <x:v>38</x:v>
      </x:c>
      <x:c r="AF10" s="61" t="str">
        <x:f>IF(AE10&gt;=35,"A — Featured candidate",IF(AE10&gt;=28,"B — Work grid","C — Archive / support"))</x:f>
        <x:v>A — Featured candidate</x:v>
      </x:c>
      <x:c r="AG10" s="30" t="str">
        <x:v>Work grid</x:v>
      </x:c>
      <x:c r="AH10" s="30" t="str">
        <x:v>Add live link or prototype recording, CTA test plan, and a simplified conversion funnel diagram.</x:v>
      </x:c>
      <x:c r="AI10" s="36" t="str">
        <x:v>Public source verified; classified as a personal project in the case study.</x:v>
      </x:c>
    </x:row>
    <x:row r="11">
      <x:c r="A11" s="35" t="str">
        <x:v>PT-007</x:v>
      </x:c>
      <x:c r="B11" s="30" t="str">
        <x:v>Framer Template — Interior Designers</x:v>
      </x:c>
      <x:c r="C11" s="30" t="str">
        <x:v>Template</x:v>
      </x:c>
      <x:c r="D11" s="30" t="str">
        <x:v>Contra; Behance</x:v>
      </x:c>
      <x:c r="E11" s="30" t="str">
        <x:v>https://contra.com/p/6o77FoL6-free-framer-template-for-interior-designers</x:v>
      </x:c>
      <x:c r="F11" s="30" t="str">
        <x:v>https://contra.com/p/6o77FoL6-free-framer-template-for-interior-designers</x:v>
      </x:c>
      <x:c r="G11" s="49" t="n">
        <x:v>45796</x:v>
      </x:c>
      <x:c r="H11" s="30" t="str">
        <x:v>Personal product / interior-design audience</x:v>
      </x:c>
      <x:c r="I11" s="30" t="str">
        <x:v>Completed</x:v>
      </x:c>
      <x:c r="J11" s="30" t="str">
        <x:v>Template designer and Framer builder</x:v>
      </x:c>
      <x:c r="K11" s="30" t="str">
        <x:v>Template systems; CMS design; responsive layouts; Figma-to-Framer workflow</x:v>
      </x:c>
      <x:c r="L11" s="30" t="str">
        <x:v>Figma; Framer; CMS</x:v>
      </x:c>
      <x:c r="M11" s="30" t="str">
        <x:v>Give interior designers an easy, customisable way to showcase work, services, and writing without starting from zero.</x:v>
      </x:c>
      <x:c r="N11" s="30" t="str">
        <x:v>Creating a reusable portfolio system with two CMS collections and flexible visual styling.</x:v>
      </x:c>
      <x:c r="O11" s="30" t="str">
        <x:v>Public case study describes the Figma iterations, fully responsive build, two CMS systems, and customisation controls.</x:v>
      </x:c>
      <x:c r="P11" s="30" t="str">
        <x:v>Ready</x:v>
      </x:c>
      <x:c r="Q11" s="30" t="str">
        <x:v>Ready</x:v>
      </x:c>
      <x:c r="R11" s="30" t="str">
        <x:v>Ready</x:v>
      </x:c>
      <x:c r="S11" s="30" t="str">
        <x:v>Partial</x:v>
      </x:c>
      <x:c r="T11" s="30" t="str">
        <x:v>Need</x:v>
      </x:c>
      <x:c r="U11" s="30" t="str">
        <x:v>Ready</x:v>
      </x:c>
      <x:c r="V11" s="30" t="str">
        <x:v>N/A</x:v>
      </x:c>
      <x:c r="W11" s="55" t="n">
        <x:v>5</x:v>
      </x:c>
      <x:c r="X11" s="55" t="n">
        <x:v>4</x:v>
      </x:c>
      <x:c r="Y11" s="55" t="n">
        <x:v>3</x:v>
      </x:c>
      <x:c r="Z11" s="55" t="n">
        <x:v>4</x:v>
      </x:c>
      <x:c r="AA11" s="55" t="n">
        <x:v>2</x:v>
      </x:c>
      <x:c r="AB11" s="55" t="n">
        <x:v>5</x:v>
      </x:c>
      <x:c r="AC11" s="55" t="n">
        <x:v>4</x:v>
      </x:c>
      <x:c r="AD11" s="61" t="n">
        <x:f>COUNTIF(P11:V11,"Ready")*2+COUNTIF(P11:V11,"Partial")</x:f>
        <x:v>9</x:v>
      </x:c>
      <x:c r="AE11" s="61" t="n">
        <x:f>SUM(W11:AC11)+AD11</x:f>
        <x:v>36</x:v>
      </x:c>
      <x:c r="AF11" s="61" t="str">
        <x:f>IF(AE11&gt;=35,"A — Featured candidate",IF(AE11&gt;=28,"B — Work grid","C — Archive / support"))</x:f>
        <x:v>A — Featured candidate</x:v>
      </x:c>
      <x:c r="AG11" s="30" t="str">
        <x:v>Work grid</x:v>
      </x:c>
      <x:c r="AH11" s="30" t="str">
        <x:v>Show CMS schema, remix path, mobile variants, and any download/remix or user feedback data.</x:v>
      </x:c>
      <x:c r="AI11" s="36" t="str">
        <x:v>Public source verified; outcomes are not documented.</x:v>
      </x:c>
    </x:row>
    <x:row r="12">
      <x:c r="A12" s="35" t="str">
        <x:v>PT-008</x:v>
      </x:c>
      <x:c r="B12" s="30" t="str">
        <x:v>EarthHarvest Alliance — Climate Action UX Concept</x:v>
      </x:c>
      <x:c r="C12" s="30" t="str">
        <x:v>UI/UX Website</x:v>
      </x:c>
      <x:c r="D12" s="30" t="str">
        <x:v>Contra; Behance</x:v>
      </x:c>
      <x:c r="E12" s="30" t="str">
        <x:v>https://contra.com/p/3qrU6OBk-earth-harvest-alliance-ui-ux-website-design</x:v>
      </x:c>
      <x:c r="F12" s="30" t="str">
        <x:v>https://contra.com/p/3qrU6OBk-earth-harvest-alliance-ui-ux-website-design</x:v>
      </x:c>
      <x:c r="G12" s="49" t="n">
        <x:v>45683</x:v>
      </x:c>
      <x:c r="H12" s="30" t="str">
        <x:v>EarthHarvest Alliance / nonprofit agriculture</x:v>
      </x:c>
      <x:c r="I12" s="30" t="str">
        <x:v>Concept</x:v>
      </x:c>
      <x:c r="J12" s="30" t="str">
        <x:v>UI/UX designer — concept to high-fidelity prototype</x:v>
      </x:c>
      <x:c r="K12" s="30" t="str">
        <x:v>Nonprofit storytelling; donor UX; stakeholder research; visual systems; impact dashboard design</x:v>
      </x:c>
      <x:c r="L12" s="30" t="str">
        <x:v>Figma; Adobe Suite; Framer (planned)</x:v>
      </x:c>
      <x:c r="M12" s="30" t="str">
        <x:v>A climate and agriculture nonprofit needed a clearer, more compelling way to communicate impact and motivate donors and partners.</x:v>
      </x:c>
      <x:c r="N12" s="30" t="str">
        <x:v>Moving impact stories from dense text into a donor- and community-centred digital experience.</x:v>
      </x:c>
      <x:c r="O12" s="30" t="str">
        <x:v>Public case study documents personas, stakeholder and competitor research, visual language, dual CTAs, impact dashboard concepts, and planned Framer build.</x:v>
      </x:c>
      <x:c r="P12" s="30" t="str">
        <x:v>Ready</x:v>
      </x:c>
      <x:c r="Q12" s="30" t="str">
        <x:v>Ready</x:v>
      </x:c>
      <x:c r="R12" s="30" t="str">
        <x:v>Ready</x:v>
      </x:c>
      <x:c r="S12" s="30" t="str">
        <x:v>Ready</x:v>
      </x:c>
      <x:c r="T12" s="30" t="str">
        <x:v>Need</x:v>
      </x:c>
      <x:c r="U12" s="30" t="str">
        <x:v>Partial</x:v>
      </x:c>
      <x:c r="V12" s="30" t="str">
        <x:v>N/A</x:v>
      </x:c>
      <x:c r="W12" s="55" t="n">
        <x:v>5</x:v>
      </x:c>
      <x:c r="X12" s="55" t="n">
        <x:v>5</x:v>
      </x:c>
      <x:c r="Y12" s="55" t="n">
        <x:v>5</x:v>
      </x:c>
      <x:c r="Z12" s="55" t="n">
        <x:v>3</x:v>
      </x:c>
      <x:c r="AA12" s="55" t="n">
        <x:v>2</x:v>
      </x:c>
      <x:c r="AB12" s="55" t="n">
        <x:v>5</x:v>
      </x:c>
      <x:c r="AC12" s="55" t="n">
        <x:v>5</x:v>
      </x:c>
      <x:c r="AD12" s="61" t="n">
        <x:f>COUNTIF(P12:V12,"Ready")*2+COUNTIF(P12:V12,"Partial")</x:f>
        <x:v>9</x:v>
      </x:c>
      <x:c r="AE12" s="61" t="n">
        <x:f>SUM(W12:AC12)+AD12</x:f>
        <x:v>39</x:v>
      </x:c>
      <x:c r="AF12" s="61" t="str">
        <x:f>IF(AE12&gt;=35,"A — Featured candidate",IF(AE12&gt;=28,"B — Work grid","C — Archive / support"))</x:f>
        <x:v>A — Featured candidate</x:v>
      </x:c>
      <x:c r="AG12" s="30" t="str">
        <x:v>Featured case study</x:v>
      </x:c>
      <x:c r="AH12" s="30" t="str">
        <x:v>Add the Figma prototype link, a short narrated walkthrough, task-flow screenshots, and outcome-testing plan.</x:v>
      </x:c>
      <x:c r="AI12" s="36" t="str">
        <x:v>Public source verified; it is a concept/prototype, not a launched result.</x:v>
      </x:c>
    </x:row>
    <x:row r="13">
      <x:c r="A13" s="35" t="str">
        <x:v>PT-009</x:v>
      </x:c>
      <x:c r="B13" s="30" t="str">
        <x:v>Present Day Farms — Brand Identity</x:v>
      </x:c>
      <x:c r="C13" s="30" t="str">
        <x:v>Brand Identity</x:v>
      </x:c>
      <x:c r="D13" s="30" t="str">
        <x:v>Contra; Behance</x:v>
      </x:c>
      <x:c r="E13" s="30" t="str">
        <x:v>https://contra.com/p/LWLE2lmA-present-day-farms-brand-identity</x:v>
      </x:c>
      <x:c r="F13" s="30" t="str">
        <x:v>https://contra.com/p/LWLE2lmA-present-day-farms-brand-identity</x:v>
      </x:c>
      <x:c r="G13" s="49" t="n">
        <x:v>45681</x:v>
      </x:c>
      <x:c r="H13" s="30" t="str">
        <x:v>Present Day Farms / nonprofit agriculture</x:v>
      </x:c>
      <x:c r="I13" s="30" t="str">
        <x:v>Completed</x:v>
      </x:c>
      <x:c r="J13" s="30" t="str">
        <x:v>Brand designer</x:v>
      </x:c>
      <x:c r="K13" s="30" t="str">
        <x:v>Brand identity; nonprofit brand design; visual system; presentation</x:v>
      </x:c>
      <x:c r="L13" s="30" t="str">
        <x:v>Adobe Illustrator; Adobe Photoshop</x:v>
      </x:c>
      <x:c r="M13" s="30" t="str">
        <x:v>Create a recognisable visual identity for a nonprofit organisation working in agriculture.</x:v>
      </x:c>
      <x:c r="N13" s="30" t="str">
        <x:v>A compact brand system that helps a purpose-led organisation look coherent and credible.</x:v>
      </x:c>
      <x:c r="O13" s="30" t="str">
        <x:v>Public listing identifies it as brand design for the Present Day Farms nonprofit; the detailed strategic brief and outcomes should be added.</x:v>
      </x:c>
      <x:c r="P13" s="30" t="str">
        <x:v>Ready</x:v>
      </x:c>
      <x:c r="Q13" s="30" t="str">
        <x:v>Ready</x:v>
      </x:c>
      <x:c r="R13" s="30" t="str">
        <x:v>Partial</x:v>
      </x:c>
      <x:c r="S13" s="30" t="str">
        <x:v>Partial</x:v>
      </x:c>
      <x:c r="T13" s="30" t="str">
        <x:v>Need</x:v>
      </x:c>
      <x:c r="U13" s="30" t="str">
        <x:v>Need</x:v>
      </x:c>
      <x:c r="V13" s="30" t="str">
        <x:v>Need</x:v>
      </x:c>
      <x:c r="W13" s="55" t="n">
        <x:v>5</x:v>
      </x:c>
      <x:c r="X13" s="55" t="n">
        <x:v>4</x:v>
      </x:c>
      <x:c r="Y13" s="55" t="n">
        <x:v>3</x:v>
      </x:c>
      <x:c r="Z13" s="55" t="n">
        <x:v>3</x:v>
      </x:c>
      <x:c r="AA13" s="55" t="n">
        <x:v>1</x:v>
      </x:c>
      <x:c r="AB13" s="55" t="n">
        <x:v>4</x:v>
      </x:c>
      <x:c r="AC13" s="55" t="n">
        <x:v>4</x:v>
      </x:c>
      <x:c r="AD13" s="61" t="n">
        <x:f>COUNTIF(P13:V13,"Ready")*2+COUNTIF(P13:V13,"Partial")</x:f>
        <x:v>6</x:v>
      </x:c>
      <x:c r="AE13" s="61" t="n">
        <x:f>SUM(W13:AC13)+AD13</x:f>
        <x:v>30</x:v>
      </x:c>
      <x:c r="AF13" s="61" t="str">
        <x:f>IF(AE13&gt;=35,"A — Featured candidate",IF(AE13&gt;=28,"B — Work grid","C — Archive / support"))</x:f>
        <x:v>B — Work grid</x:v>
      </x:c>
      <x:c r="AG13" s="30" t="str">
        <x:v>Work grid</x:v>
      </x:c>
      <x:c r="AH13" s="30" t="str">
        <x:v>Add discovery notes, logo rationale, colours/type, applications, client quote, and permission confirmation.</x:v>
      </x:c>
      <x:c r="AI13" s="36" t="str">
        <x:v>Public source verified; case-study detail is limited.</x:v>
      </x:c>
    </x:row>
    <x:row r="14">
      <x:c r="A14" s="35" t="str">
        <x:v>PT-010</x:v>
      </x:c>
      <x:c r="B14" s="30" t="str">
        <x:v>Brand Identity — Makaaya</x:v>
      </x:c>
      <x:c r="C14" s="30" t="str">
        <x:v>Brand Identity</x:v>
      </x:c>
      <x:c r="D14" s="30" t="str">
        <x:v>Behance</x:v>
      </x:c>
      <x:c r="E14" s="30" t="str">
        <x:v>https://www.behance.net/kidunejoseph91</x:v>
      </x:c>
      <x:c r="F14" s="30" t="str">
        <x:v>https://www.behance.net/kidunejoseph91</x:v>
      </x:c>
      <x:c r="G14" s="49"/>
      <x:c r="H14" s="30" t="str">
        <x:v>Makaaya / brand identity</x:v>
      </x:c>
      <x:c r="I14" s="30" t="str">
        <x:v>Completed</x:v>
      </x:c>
      <x:c r="J14" s="30" t="str">
        <x:v>Brand designer — verify</x:v>
      </x:c>
      <x:c r="K14" s="30" t="str">
        <x:v>Identity design; logo system; brand presentation</x:v>
      </x:c>
      <x:c r="L14" s="30" t="str">
        <x:v>Adobe suite — verify</x:v>
      </x:c>
      <x:c r="M14" s="30" t="str">
        <x:v>Brand identity work available as a visual project; full brief not publicly extracted.</x:v>
      </x:c>
      <x:c r="N14" s="30" t="str">
        <x:v>Use only if the brand applications and rationale are strong enough to show a complete system.</x:v>
      </x:c>
      <x:c r="O14" s="30" t="str">
        <x:v>Behance lists the project; public profile-level listing does not provide a detailed written brief.</x:v>
      </x:c>
      <x:c r="P14" s="30" t="str">
        <x:v>Ready</x:v>
      </x:c>
      <x:c r="Q14" s="30" t="str">
        <x:v>Ready</x:v>
      </x:c>
      <x:c r="R14" s="30" t="str">
        <x:v>Partial</x:v>
      </x:c>
      <x:c r="S14" s="30" t="str">
        <x:v>Need</x:v>
      </x:c>
      <x:c r="T14" s="30" t="str">
        <x:v>Need</x:v>
      </x:c>
      <x:c r="U14" s="30" t="str">
        <x:v>Need</x:v>
      </x:c>
      <x:c r="V14" s="30" t="str">
        <x:v>Need</x:v>
      </x:c>
      <x:c r="W14" s="55" t="n">
        <x:v>5</x:v>
      </x:c>
      <x:c r="X14" s="55" t="n">
        <x:v>4</x:v>
      </x:c>
      <x:c r="Y14" s="55" t="n">
        <x:v>3</x:v>
      </x:c>
      <x:c r="Z14" s="55" t="n">
        <x:v>3</x:v>
      </x:c>
      <x:c r="AA14" s="55" t="n">
        <x:v>1</x:v>
      </x:c>
      <x:c r="AB14" s="55" t="n">
        <x:v>3</x:v>
      </x:c>
      <x:c r="AC14" s="55" t="n">
        <x:v>4</x:v>
      </x:c>
      <x:c r="AD14" s="61" t="n">
        <x:f>COUNTIF(P14:V14,"Ready")*2+COUNTIF(P14:V14,"Partial")</x:f>
        <x:v>5</x:v>
      </x:c>
      <x:c r="AE14" s="61" t="n">
        <x:f>SUM(W14:AC14)+AD14</x:f>
        <x:v>28</x:v>
      </x:c>
      <x:c r="AF14" s="61" t="str">
        <x:f>IF(AE14&gt;=35,"A — Featured candidate",IF(AE14&gt;=28,"B — Work grid","C — Archive / support"))</x:f>
        <x:v>B — Work grid</x:v>
      </x:c>
      <x:c r="AG14" s="30" t="str">
        <x:v>Work grid</x:v>
      </x:c>
      <x:c r="AH14" s="30" t="str">
        <x:v>Open the original files, identify client/goal, prepare a 6–8 image sequence, and confirm use permission.</x:v>
      </x:c>
      <x:c r="AI14" s="36" t="str">
        <x:v>Profile listing verified; project detail needs manual extraction.</x:v>
      </x:c>
    </x:row>
    <x:row r="15">
      <x:c r="A15" s="35" t="str">
        <x:v>PT-011</x:v>
      </x:c>
      <x:c r="B15" s="30" t="str">
        <x:v>Haperd Construction Profile</x:v>
      </x:c>
      <x:c r="C15" s="30" t="str">
        <x:v>Brand / Corporate Profile</x:v>
      </x:c>
      <x:c r="D15" s="30" t="str">
        <x:v>Behance</x:v>
      </x:c>
      <x:c r="E15" s="30" t="str">
        <x:v>https://www.behance.net/kidunejoseph91</x:v>
      </x:c>
      <x:c r="F15" s="30" t="str">
        <x:v>https://www.behance.net/kidunejoseph91</x:v>
      </x:c>
      <x:c r="G15" s="49"/>
      <x:c r="H15" s="30" t="str">
        <x:v>Haperd Construction / construction</x:v>
      </x:c>
      <x:c r="I15" s="30" t="str">
        <x:v>Completed</x:v>
      </x:c>
      <x:c r="J15" s="30" t="str">
        <x:v>Designer — verify</x:v>
      </x:c>
      <x:c r="K15" s="30" t="str">
        <x:v>Corporate profile; editorial layout; business communication</x:v>
      </x:c>
      <x:c r="L15" s="30" t="str">
        <x:v>Adobe suite — verify</x:v>
      </x:c>
      <x:c r="M15" s="30" t="str">
        <x:v>A construction business profile has to make services, capabilities, and credibility easy to scan.</x:v>
      </x:c>
      <x:c r="N15" s="30" t="str">
        <x:v>Demonstrating that visual storytelling can improve a practical B2B communication asset.</x:v>
      </x:c>
      <x:c r="O15" s="30" t="str">
        <x:v>Behance lists a Haperd Construction Profile project; detailed scope and outcomes were not publicly extracted.</x:v>
      </x:c>
      <x:c r="P15" s="30" t="str">
        <x:v>Ready</x:v>
      </x:c>
      <x:c r="Q15" s="30" t="str">
        <x:v>Ready</x:v>
      </x:c>
      <x:c r="R15" s="30" t="str">
        <x:v>Partial</x:v>
      </x:c>
      <x:c r="S15" s="30" t="str">
        <x:v>Need</x:v>
      </x:c>
      <x:c r="T15" s="30" t="str">
        <x:v>Need</x:v>
      </x:c>
      <x:c r="U15" s="30" t="str">
        <x:v>Need</x:v>
      </x:c>
      <x:c r="V15" s="30" t="str">
        <x:v>Need</x:v>
      </x:c>
      <x:c r="W15" s="55" t="n">
        <x:v>4</x:v>
      </x:c>
      <x:c r="X15" s="55" t="n">
        <x:v>4</x:v>
      </x:c>
      <x:c r="Y15" s="55" t="n">
        <x:v>3</x:v>
      </x:c>
      <x:c r="Z15" s="55" t="n">
        <x:v>3</x:v>
      </x:c>
      <x:c r="AA15" s="55" t="n">
        <x:v>1</x:v>
      </x:c>
      <x:c r="AB15" s="55" t="n">
        <x:v>3</x:v>
      </x:c>
      <x:c r="AC15" s="55" t="n">
        <x:v>3</x:v>
      </x:c>
      <x:c r="AD15" s="61" t="n">
        <x:f>COUNTIF(P15:V15,"Ready")*2+COUNTIF(P15:V15,"Partial")</x:f>
        <x:v>5</x:v>
      </x:c>
      <x:c r="AE15" s="61" t="n">
        <x:f>SUM(W15:AC15)+AD15</x:f>
        <x:v>26</x:v>
      </x:c>
      <x:c r="AF15" s="61" t="str">
        <x:f>IF(AE15&gt;=35,"A — Featured candidate",IF(AE15&gt;=28,"B — Work grid","C — Archive / support"))</x:f>
        <x:v>C — Archive / support</x:v>
      </x:c>
      <x:c r="AG15" s="30" t="str">
        <x:v>Work grid</x:v>
      </x:c>
      <x:c r="AH15" s="30" t="str">
        <x:v>Collect profile pages, establish audience/client need, show layout hierarchy, and obtain permission.</x:v>
      </x:c>
      <x:c r="AI15" s="36" t="str">
        <x:v>Profile listing verified; manual project audit needed.</x:v>
      </x:c>
    </x:row>
    <x:row r="16">
      <x:c r="A16" s="35" t="str">
        <x:v>PT-012</x:v>
      </x:c>
      <x:c r="B16" s="30" t="str">
        <x:v>Mkulima GPT — Event Coverage</x:v>
      </x:c>
      <x:c r="C16" s="30" t="str">
        <x:v>Event / Content</x:v>
      </x:c>
      <x:c r="D16" s="30" t="str">
        <x:v>Behance</x:v>
      </x:c>
      <x:c r="E16" s="30" t="str">
        <x:v>https://www.behance.net/kidunejoseph91</x:v>
      </x:c>
      <x:c r="F16" s="30" t="str">
        <x:v>https://www.behance.net/kidunejoseph91</x:v>
      </x:c>
      <x:c r="G16" s="49"/>
      <x:c r="H16" s="30" t="str">
        <x:v>Mkulima GPT / event</x:v>
      </x:c>
      <x:c r="I16" s="30" t="str">
        <x:v>Completed</x:v>
      </x:c>
      <x:c r="J16" s="30" t="str">
        <x:v>Event coverage / content creator — verify</x:v>
      </x:c>
      <x:c r="K16" s="30" t="str">
        <x:v>Event storytelling; visual coverage; social content; campaign documentation</x:v>
      </x:c>
      <x:c r="L16" s="30" t="str">
        <x:v>Camera / Adobe suite — verify</x:v>
      </x:c>
      <x:c r="M16" s="30" t="str">
        <x:v>Turn an event into a reusable visual story for audiences who were not in the room.</x:v>
      </x:c>
      <x:c r="N16" s="30" t="str">
        <x:v>Show your range beyond web: strategic event content that can support visibility and follow-up.</x:v>
      </x:c>
      <x:c r="O16" s="30" t="str">
        <x:v>Behance lists MKULIMA GPT event coverage; detailed deliverables and results need manual capture.</x:v>
      </x:c>
      <x:c r="P16" s="30" t="str">
        <x:v>Ready</x:v>
      </x:c>
      <x:c r="Q16" s="30" t="str">
        <x:v>Ready</x:v>
      </x:c>
      <x:c r="R16" s="30" t="str">
        <x:v>Partial</x:v>
      </x:c>
      <x:c r="S16" s="30" t="str">
        <x:v>Partial</x:v>
      </x:c>
      <x:c r="T16" s="30" t="str">
        <x:v>Need</x:v>
      </x:c>
      <x:c r="U16" s="30" t="str">
        <x:v>Need</x:v>
      </x:c>
      <x:c r="V16" s="30" t="str">
        <x:v>Need</x:v>
      </x:c>
      <x:c r="W16" s="55" t="n">
        <x:v>4</x:v>
      </x:c>
      <x:c r="X16" s="55" t="n">
        <x:v>4</x:v>
      </x:c>
      <x:c r="Y16" s="55" t="n">
        <x:v>3</x:v>
      </x:c>
      <x:c r="Z16" s="55" t="n">
        <x:v>3</x:v>
      </x:c>
      <x:c r="AA16" s="55" t="n">
        <x:v>1</x:v>
      </x:c>
      <x:c r="AB16" s="55" t="n">
        <x:v>3</x:v>
      </x:c>
      <x:c r="AC16" s="55" t="n">
        <x:v>4</x:v>
      </x:c>
      <x:c r="AD16" s="61" t="n">
        <x:f>COUNTIF(P16:V16,"Ready")*2+COUNTIF(P16:V16,"Partial")</x:f>
        <x:v>6</x:v>
      </x:c>
      <x:c r="AE16" s="61" t="n">
        <x:f>SUM(W16:AC16)+AD16</x:f>
        <x:v>28</x:v>
      </x:c>
      <x:c r="AF16" s="61" t="str">
        <x:f>IF(AE16&gt;=35,"A — Featured candidate",IF(AE16&gt;=28,"B — Work grid","C — Archive / support"))</x:f>
        <x:v>B — Work grid</x:v>
      </x:c>
      <x:c r="AG16" s="30" t="str">
        <x:v>Work grid / Content</x:v>
      </x:c>
      <x:c r="AH16" s="30" t="str">
        <x:v>Build a 45–60 second highlight reel, 8-image gallery, objectives, and campaign reach/results.</x:v>
      </x:c>
      <x:c r="AI16" s="36" t="str">
        <x:v>Profile listing verified; scope and proof need confirmation.</x:v>
      </x:c>
    </x:row>
    <x:row r="17">
      <x:c r="A17" s="35" t="str">
        <x:v>PT-013</x:v>
      </x:c>
      <x:c r="B17" s="30" t="str">
        <x:v>Event Branding</x:v>
      </x:c>
      <x:c r="C17" s="30" t="str">
        <x:v>Event / Print</x:v>
      </x:c>
      <x:c r="D17" s="30" t="str">
        <x:v>Behance</x:v>
      </x:c>
      <x:c r="E17" s="30" t="str">
        <x:v>https://www.behance.net/kidunejoseph91</x:v>
      </x:c>
      <x:c r="F17" s="30" t="str">
        <x:v>https://www.behance.net/kidunejoseph91</x:v>
      </x:c>
      <x:c r="G17" s="49"/>
      <x:c r="H17" s="30" t="str">
        <x:v>Event branding — client to verify</x:v>
      </x:c>
      <x:c r="I17" s="30" t="str">
        <x:v>Completed</x:v>
      </x:c>
      <x:c r="J17" s="30" t="str">
        <x:v>Brand/event designer — verify</x:v>
      </x:c>
      <x:c r="K17" s="30" t="str">
        <x:v>Event identity; applications; print; spatial consistency</x:v>
      </x:c>
      <x:c r="L17" s="30" t="str">
        <x:v>Adobe suite — verify</x:v>
      </x:c>
      <x:c r="M17" s="30" t="str">
        <x:v>Create a coherent visual language that works across event touchpoints.</x:v>
      </x:c>
      <x:c r="N17" s="30" t="str">
        <x:v>Use as a visual collection, not a long case study, unless you can show system rules and event context.</x:v>
      </x:c>
      <x:c r="O17" s="30" t="str">
        <x:v>Behance lists event branding as a project; brief and outcomes need manual extraction.</x:v>
      </x:c>
      <x:c r="P17" s="30" t="str">
        <x:v>Ready</x:v>
      </x:c>
      <x:c r="Q17" s="30" t="str">
        <x:v>Ready</x:v>
      </x:c>
      <x:c r="R17" s="30" t="str">
        <x:v>Partial</x:v>
      </x:c>
      <x:c r="S17" s="30" t="str">
        <x:v>Need</x:v>
      </x:c>
      <x:c r="T17" s="30" t="str">
        <x:v>Need</x:v>
      </x:c>
      <x:c r="U17" s="30" t="str">
        <x:v>Need</x:v>
      </x:c>
      <x:c r="V17" s="30" t="str">
        <x:v>Need</x:v>
      </x:c>
      <x:c r="W17" s="55" t="n">
        <x:v>4</x:v>
      </x:c>
      <x:c r="X17" s="55" t="n">
        <x:v>4</x:v>
      </x:c>
      <x:c r="Y17" s="55" t="n">
        <x:v>3</x:v>
      </x:c>
      <x:c r="Z17" s="55" t="n">
        <x:v>3</x:v>
      </x:c>
      <x:c r="AA17" s="55" t="n">
        <x:v>1</x:v>
      </x:c>
      <x:c r="AB17" s="55" t="n">
        <x:v>3</x:v>
      </x:c>
      <x:c r="AC17" s="55" t="n">
        <x:v>3</x:v>
      </x:c>
      <x:c r="AD17" s="61" t="n">
        <x:f>COUNTIF(P17:V17,"Ready")*2+COUNTIF(P17:V17,"Partial")</x:f>
        <x:v>5</x:v>
      </x:c>
      <x:c r="AE17" s="61" t="n">
        <x:f>SUM(W17:AC17)+AD17</x:f>
        <x:v>26</x:v>
      </x:c>
      <x:c r="AF17" s="61" t="str">
        <x:f>IF(AE17&gt;=35,"A — Featured candidate",IF(AE17&gt;=28,"B — Work grid","C — Archive / support"))</x:f>
        <x:v>C — Archive / support</x:v>
      </x:c>
      <x:c r="AG17" s="30" t="str">
        <x:v>Work grid / Collection</x:v>
      </x:c>
      <x:c r="AH17" s="30" t="str">
        <x:v>Compile branding system, applications, onsite photos, and original brief.</x:v>
      </x:c>
      <x:c r="AI17" s="36" t="str">
        <x:v>Profile listing verified; manual project audit needed.</x:v>
      </x:c>
    </x:row>
    <x:row r="18">
      <x:c r="A18" s="35" t="str">
        <x:v>PT-014</x:v>
      </x:c>
      <x:c r="B18" s="30" t="str">
        <x:v>Rose Beauty Palace — Brand Identity &amp; Logo</x:v>
      </x:c>
      <x:c r="C18" s="30" t="str">
        <x:v>Brand Identity</x:v>
      </x:c>
      <x:c r="D18" s="30" t="str">
        <x:v>Behance</x:v>
      </x:c>
      <x:c r="E18" s="30" t="str">
        <x:v>https://www.behance.net/kidunejoseph91</x:v>
      </x:c>
      <x:c r="F18" s="30" t="str">
        <x:v>https://www.behance.net/kidunejoseph91</x:v>
      </x:c>
      <x:c r="G18" s="49"/>
      <x:c r="H18" s="30" t="str">
        <x:v>Rose Beauty Palace / beauty</x:v>
      </x:c>
      <x:c r="I18" s="30" t="str">
        <x:v>Completed</x:v>
      </x:c>
      <x:c r="J18" s="30" t="str">
        <x:v>Brand designer — verify</x:v>
      </x:c>
      <x:c r="K18" s="30" t="str">
        <x:v>Beauty brand identity; logo; visual direction</x:v>
      </x:c>
      <x:c r="L18" s="30" t="str">
        <x:v>Adobe suite — verify</x:v>
      </x:c>
      <x:c r="M18" s="30" t="str">
        <x:v>Develop a beauty brand identity that looks polished, differentiated, and ready for customer-facing applications.</x:v>
      </x:c>
      <x:c r="N18" s="30" t="str">
        <x:v>Show a concise identity system with logo rationale, packaging/social applications, and target customer insight.</x:v>
      </x:c>
      <x:c r="O18" s="30" t="str">
        <x:v>Behance lists the project; detailed source text was not available in the profile listing.</x:v>
      </x:c>
      <x:c r="P18" s="30" t="str">
        <x:v>Ready</x:v>
      </x:c>
      <x:c r="Q18" s="30" t="str">
        <x:v>Ready</x:v>
      </x:c>
      <x:c r="R18" s="30" t="str">
        <x:v>Partial</x:v>
      </x:c>
      <x:c r="S18" s="30" t="str">
        <x:v>Need</x:v>
      </x:c>
      <x:c r="T18" s="30" t="str">
        <x:v>Need</x:v>
      </x:c>
      <x:c r="U18" s="30" t="str">
        <x:v>Need</x:v>
      </x:c>
      <x:c r="V18" s="30" t="str">
        <x:v>Need</x:v>
      </x:c>
      <x:c r="W18" s="55" t="n">
        <x:v>4</x:v>
      </x:c>
      <x:c r="X18" s="55" t="n">
        <x:v>4</x:v>
      </x:c>
      <x:c r="Y18" s="55" t="n">
        <x:v>3</x:v>
      </x:c>
      <x:c r="Z18" s="55" t="n">
        <x:v>3</x:v>
      </x:c>
      <x:c r="AA18" s="55" t="n">
        <x:v>1</x:v>
      </x:c>
      <x:c r="AB18" s="55" t="n">
        <x:v>3</x:v>
      </x:c>
      <x:c r="AC18" s="55" t="n">
        <x:v>3</x:v>
      </x:c>
      <x:c r="AD18" s="61" t="n">
        <x:f>COUNTIF(P18:V18,"Ready")*2+COUNTIF(P18:V18,"Partial")</x:f>
        <x:v>5</x:v>
      </x:c>
      <x:c r="AE18" s="61" t="n">
        <x:f>SUM(W18:AC18)+AD18</x:f>
        <x:v>26</x:v>
      </x:c>
      <x:c r="AF18" s="61" t="str">
        <x:f>IF(AE18&gt;=35,"A — Featured candidate",IF(AE18&gt;=28,"B — Work grid","C — Archive / support"))</x:f>
        <x:v>C — Archive / support</x:v>
      </x:c>
      <x:c r="AG18" s="30" t="str">
        <x:v>Work grid</x:v>
      </x:c>
      <x:c r="AH18" s="30" t="str">
        <x:v>Build a 5–7 image identity sequence and show how the mark performs across real applications.</x:v>
      </x:c>
      <x:c r="AI18" s="36" t="str">
        <x:v>Profile listing verified; manual project audit needed.</x:v>
      </x:c>
    </x:row>
    <x:row r="19">
      <x:c r="A19" s="35" t="str">
        <x:v>PT-015</x:v>
      </x:c>
      <x:c r="B19" s="30" t="str">
        <x:v>Checkpoint Dashboard — Investment Club Financial Web App</x:v>
      </x:c>
      <x:c r="C19" s="30" t="str">
        <x:v>Web App</x:v>
      </x:c>
      <x:c r="D19" s="30" t="str">
        <x:v>GitHub</x:v>
      </x:c>
      <x:c r="E19" s="30" t="str">
        <x:v>https://github.com/jkidune/checkpoint-dashboard</x:v>
      </x:c>
      <x:c r="F19" s="30" t="str">
        <x:v>https://github.com/jkidune/checkpoint-dashboard</x:v>
      </x:c>
      <x:c r="G19" s="49" t="n">
        <x:v>46136</x:v>
      </x:c>
      <x:c r="H19" s="30" t="str">
        <x:v>Checkpoint Investment Club</x:v>
      </x:c>
      <x:c r="I19" s="30" t="str">
        <x:v>Completed</x:v>
      </x:c>
      <x:c r="J19" s="30" t="str">
        <x:v>Builder / product contributor — verify</x:v>
      </x:c>
      <x:c r="K19" s="30" t="str">
        <x:v>Web application architecture; dashboard UX; backend/frontend integration; PRD-led development</x:v>
      </x:c>
      <x:c r="L19" s="30" t="str">
        <x:v>JavaScript; API; backend; frontend; Google Apps Script; Vercel</x:v>
      </x:c>
      <x:c r="M19" s="30" t="str">
        <x:v>Give an investment club a usable financial-management dashboard rather than disconnected records.</x:v>
      </x:c>
      <x:c r="N19" s="30" t="str">
        <x:v>A clear product case study that demonstrates you can move beyond marketing sites into structured application work.</x:v>
      </x:c>
      <x:c r="O19" s="30" t="str">
        <x:v>GitHub describes it as a financial management web app and exposes API, backend, frontend, Google Apps Script, PRD, and Vercel configuration.</x:v>
      </x:c>
      <x:c r="P19" s="30" t="str">
        <x:v>Partial</x:v>
      </x:c>
      <x:c r="Q19" s="30" t="str">
        <x:v>Partial</x:v>
      </x:c>
      <x:c r="R19" s="30" t="str">
        <x:v>Partial</x:v>
      </x:c>
      <x:c r="S19" s="30" t="str">
        <x:v>Partial</x:v>
      </x:c>
      <x:c r="T19" s="30" t="str">
        <x:v>Need</x:v>
      </x:c>
      <x:c r="U19" s="30" t="str">
        <x:v>Partial</x:v>
      </x:c>
      <x:c r="V19" s="30" t="str">
        <x:v>Need</x:v>
      </x:c>
      <x:c r="W19" s="55" t="n">
        <x:v>5</x:v>
      </x:c>
      <x:c r="X19" s="55" t="n">
        <x:v>3</x:v>
      </x:c>
      <x:c r="Y19" s="55" t="n">
        <x:v>4</x:v>
      </x:c>
      <x:c r="Z19" s="55" t="n">
        <x:v>5</x:v>
      </x:c>
      <x:c r="AA19" s="55" t="n">
        <x:v>2</x:v>
      </x:c>
      <x:c r="AB19" s="55" t="n">
        <x:v>4</x:v>
      </x:c>
      <x:c r="AC19" s="55" t="n">
        <x:v>4</x:v>
      </x:c>
      <x:c r="AD19" s="61" t="n">
        <x:f>COUNTIF(P19:V19,"Ready")*2+COUNTIF(P19:V19,"Partial")</x:f>
        <x:v>5</x:v>
      </x:c>
      <x:c r="AE19" s="61" t="n">
        <x:f>SUM(W19:AC19)+AD19</x:f>
        <x:v>32</x:v>
      </x:c>
      <x:c r="AF19" s="61" t="str">
        <x:f>IF(AE19&gt;=35,"A — Featured candidate",IF(AE19&gt;=28,"B — Work grid","C — Archive / support"))</x:f>
        <x:v>B — Work grid</x:v>
      </x:c>
      <x:c r="AG19" s="30" t="str">
        <x:v>Featured case study</x:v>
      </x:c>
      <x:c r="AH19" s="30" t="str">
        <x:v>Capture user flows, dashboard states, technical architecture, a privacy-safe demo dataset, and user validation feedback.</x:v>
      </x:c>
      <x:c r="AI19" s="36" t="str">
        <x:v>Public repository verified; delivery status, user role, and outcomes need confirmation.</x:v>
      </x:c>
    </x:row>
    <x:row r="20">
      <x:c r="A20" s="35" t="str">
        <x:v>PT-016</x:v>
      </x:c>
      <x:c r="B20" s="30" t="str">
        <x:v>Creator Deal Hub</x:v>
      </x:c>
      <x:c r="C20" s="30" t="str">
        <x:v>Web App</x:v>
      </x:c>
      <x:c r="D20" s="30" t="str">
        <x:v>GitHub</x:v>
      </x:c>
      <x:c r="E20" s="30" t="str">
        <x:v>https://github.com/jkidune/creator-deal-hub</x:v>
      </x:c>
      <x:c r="F20" s="30" t="str">
        <x:v>https://github.com/jkidune/creator-deal-hub</x:v>
      </x:c>
      <x:c r="G20" s="49" t="n">
        <x:v>46115</x:v>
      </x:c>
      <x:c r="H20" s="30" t="str">
        <x:v>Personal / creator economy concept</x:v>
      </x:c>
      <x:c r="I20" s="30" t="str">
        <x:v>In progress</x:v>
      </x:c>
      <x:c r="J20" s="30" t="str">
        <x:v>Product builder — verify</x:v>
      </x:c>
      <x:c r="K20" s="30" t="str">
        <x:v>Creator product concept; data model; web application structure; design-to-build workflow</x:v>
      </x:c>
      <x:c r="L20" s="30" t="str">
        <x:v>TypeScript; Prisma; source demo; PRD</x:v>
      </x:c>
      <x:c r="M20" s="30" t="str">
        <x:v>Build a structured hub for creators to manage or discover deal-related information.</x:v>
      </x:c>
      <x:c r="N20" s="30" t="str">
        <x:v>Show product thinking: the repository already contains a PRD, demo, and database layer.</x:v>
      </x:c>
      <x:c r="O20" s="30" t="str">
        <x:v>GitHub exposes Prisma, source, environment template, PRD, demo HTML, and prompt documentation; no user outcomes published.</x:v>
      </x:c>
      <x:c r="P20" s="30" t="str">
        <x:v>Partial</x:v>
      </x:c>
      <x:c r="Q20" s="30" t="str">
        <x:v>Partial</x:v>
      </x:c>
      <x:c r="R20" s="30" t="str">
        <x:v>Partial</x:v>
      </x:c>
      <x:c r="S20" s="30" t="str">
        <x:v>Partial</x:v>
      </x:c>
      <x:c r="T20" s="30" t="str">
        <x:v>Need</x:v>
      </x:c>
      <x:c r="U20" s="30" t="str">
        <x:v>Partial</x:v>
      </x:c>
      <x:c r="V20" s="30" t="str">
        <x:v>N/A</x:v>
      </x:c>
      <x:c r="W20" s="55" t="n">
        <x:v>4</x:v>
      </x:c>
      <x:c r="X20" s="55" t="n">
        <x:v>3</x:v>
      </x:c>
      <x:c r="Y20" s="55" t="n">
        <x:v>4</x:v>
      </x:c>
      <x:c r="Z20" s="55" t="n">
        <x:v>4</x:v>
      </x:c>
      <x:c r="AA20" s="55" t="n">
        <x:v>2</x:v>
      </x:c>
      <x:c r="AB20" s="55" t="n">
        <x:v>4</x:v>
      </x:c>
      <x:c r="AC20" s="55" t="n">
        <x:v>4</x:v>
      </x:c>
      <x:c r="AD20" s="61" t="n">
        <x:f>COUNTIF(P20:V20,"Ready")*2+COUNTIF(P20:V20,"Partial")</x:f>
        <x:v>5</x:v>
      </x:c>
      <x:c r="AE20" s="61" t="n">
        <x:f>SUM(W20:AC20)+AD20</x:f>
        <x:v>30</x:v>
      </x:c>
      <x:c r="AF20" s="61" t="str">
        <x:f>IF(AE20&gt;=35,"A — Featured candidate",IF(AE20&gt;=28,"B — Work grid","C — Archive / support"))</x:f>
        <x:v>B — Work grid</x:v>
      </x:c>
      <x:c r="AG20" s="30" t="str">
        <x:v>Playlab / Product work</x:v>
      </x:c>
      <x:c r="AH20" s="30" t="str">
        <x:v>Record a feature demo, define user problem and success metric, and select three best user flows.</x:v>
      </x:c>
      <x:c r="AI20" s="36" t="str">
        <x:v>Public repository verified; exact project status and results need confirmation.</x:v>
      </x:c>
    </x:row>
    <x:row r="21">
      <x:c r="A21" s="35" t="str">
        <x:v>PT-017</x:v>
      </x:c>
      <x:c r="B21" s="30" t="str">
        <x:v>WriterMatch — Writer/Content Manager Platform</x:v>
      </x:c>
      <x:c r="C21" s="30" t="str">
        <x:v>Web App</x:v>
      </x:c>
      <x:c r="D21" s="30" t="str">
        <x:v>GitHub; GitHub profile README</x:v>
      </x:c>
      <x:c r="E21" s="30" t="str">
        <x:v>https://github.com/jkidune/writermatch</x:v>
      </x:c>
      <x:c r="F21" s="30" t="str">
        <x:v>https://github.com/jkidune/writermatch</x:v>
      </x:c>
      <x:c r="G21" s="49" t="n">
        <x:v>46071</x:v>
      </x:c>
      <x:c r="H21" s="30" t="str">
        <x:v>Personal product concept</x:v>
      </x:c>
      <x:c r="I21" s="30" t="str">
        <x:v>In progress</x:v>
      </x:c>
      <x:c r="J21" s="30" t="str">
        <x:v>Product builder — verify</x:v>
      </x:c>
      <x:c r="K21" s="30" t="str">
        <x:v>Marketplace/platform thinking; communication industry insight; product strategy</x:v>
      </x:c>
      <x:c r="L21" s="30" t="str">
        <x:v>TypeScript — verify stack</x:v>
      </x:c>
      <x:c r="M21" s="30" t="str">
        <x:v>Create a platform connecting content managers with freelance writers.</x:v>
      </x:c>
      <x:c r="N21" s="30" t="str">
        <x:v>The strongest bridge between your communications background and your developing product-design/build capability.</x:v>
      </x:c>
      <x:c r="O21" s="30" t="str">
        <x:v>GitHub profile README describes WriterMatch as a platform for content managers to book strategy calls with freelance writers; repository describes it as a personal writers project.</x:v>
      </x:c>
      <x:c r="P21" s="30" t="str">
        <x:v>Partial</x:v>
      </x:c>
      <x:c r="Q21" s="30" t="str">
        <x:v>Partial</x:v>
      </x:c>
      <x:c r="R21" s="30" t="str">
        <x:v>Partial</x:v>
      </x:c>
      <x:c r="S21" s="30" t="str">
        <x:v>Partial</x:v>
      </x:c>
      <x:c r="T21" s="30" t="str">
        <x:v>Need</x:v>
      </x:c>
      <x:c r="U21" s="30" t="str">
        <x:v>Partial</x:v>
      </x:c>
      <x:c r="V21" s="30" t="str">
        <x:v>N/A</x:v>
      </x:c>
      <x:c r="W21" s="55" t="n">
        <x:v>5</x:v>
      </x:c>
      <x:c r="X21" s="55" t="n">
        <x:v>3</x:v>
      </x:c>
      <x:c r="Y21" s="55" t="n">
        <x:v>4</x:v>
      </x:c>
      <x:c r="Z21" s="55" t="n">
        <x:v>4</x:v>
      </x:c>
      <x:c r="AA21" s="55" t="n">
        <x:v>2</x:v>
      </x:c>
      <x:c r="AB21" s="55" t="n">
        <x:v>4</x:v>
      </x:c>
      <x:c r="AC21" s="55" t="n">
        <x:v>5</x:v>
      </x:c>
      <x:c r="AD21" s="61" t="n">
        <x:f>COUNTIF(P21:V21,"Ready")*2+COUNTIF(P21:V21,"Partial")</x:f>
        <x:v>5</x:v>
      </x:c>
      <x:c r="AE21" s="61" t="n">
        <x:f>SUM(W21:AC21)+AD21</x:f>
        <x:v>32</x:v>
      </x:c>
      <x:c r="AF21" s="61" t="str">
        <x:f>IF(AE21&gt;=35,"A — Featured candidate",IF(AE21&gt;=28,"B — Work grid","C — Archive / support"))</x:f>
        <x:v>B — Work grid</x:v>
      </x:c>
      <x:c r="AG21" s="30" t="str">
        <x:v>Playlab / Product work</x:v>
      </x:c>
      <x:c r="AH21" s="30" t="str">
        <x:v>Turn this into a short product case study: user problem, flow map, prototype, roadmap, and feedback from 3–5 target users.</x:v>
      </x:c>
      <x:c r="AI21" s="36" t="str">
        <x:v>Public repository and README verified; product metrics not available.</x:v>
      </x:c>
    </x:row>
    <x:row r="22">
      <x:c r="A22" s="35" t="str">
        <x:v>PT-018</x:v>
      </x:c>
      <x:c r="B22" s="30" t="str">
        <x:v>Policy Brief Learning Platform</x:v>
      </x:c>
      <x:c r="C22" s="30" t="str">
        <x:v>Learning Platform</x:v>
      </x:c>
      <x:c r="D22" s="30" t="str">
        <x:v>GitHub</x:v>
      </x:c>
      <x:c r="E22" s="30" t="str">
        <x:v>https://github.com/jkidune/policy-brief-lm</x:v>
      </x:c>
      <x:c r="F22" s="30" t="str">
        <x:v>https://github.com/jkidune/policy-brief-lm</x:v>
      </x:c>
      <x:c r="G22" s="49" t="n">
        <x:v>46076</x:v>
      </x:c>
      <x:c r="H22" s="30" t="str">
        <x:v>Personal / communications learning concept</x:v>
      </x:c>
      <x:c r="I22" s="30" t="str">
        <x:v>In progress</x:v>
      </x:c>
      <x:c r="J22" s="30" t="str">
        <x:v>Product builder — verify</x:v>
      </x:c>
      <x:c r="K22" s="30" t="str">
        <x:v>Learning experience design; communications/PR domain expertise; product blueprinting</x:v>
      </x:c>
      <x:c r="L22" s="30" t="str">
        <x:v>TypeScript; LMS technical blueprint</x:v>
      </x:c>
      <x:c r="M22" s="30" t="str">
        <x:v>Bridge passive social scrolling and formal learning for communicators, PR professionals, and marketers.</x:v>
      </x:c>
      <x:c r="N22" s="30" t="str">
        <x:v>A mission-aligned learning platform that connects your professional communications expertise to digital product development.</x:v>
      </x:c>
      <x:c r="O22" s="30" t="str">
        <x:v>Repository describes the platform purpose and includes an LMS technical blueprint, source/public folders, and configuration files.</x:v>
      </x:c>
      <x:c r="P22" s="30" t="str">
        <x:v>Partial</x:v>
      </x:c>
      <x:c r="Q22" s="30" t="str">
        <x:v>Partial</x:v>
      </x:c>
      <x:c r="R22" s="30" t="str">
        <x:v>Ready</x:v>
      </x:c>
      <x:c r="S22" s="30" t="str">
        <x:v>Partial</x:v>
      </x:c>
      <x:c r="T22" s="30" t="str">
        <x:v>Need</x:v>
      </x:c>
      <x:c r="U22" s="30" t="str">
        <x:v>Partial</x:v>
      </x:c>
      <x:c r="V22" s="30" t="str">
        <x:v>N/A</x:v>
      </x:c>
      <x:c r="W22" s="55" t="n">
        <x:v>5</x:v>
      </x:c>
      <x:c r="X22" s="55" t="n">
        <x:v>3</x:v>
      </x:c>
      <x:c r="Y22" s="55" t="n">
        <x:v>4</x:v>
      </x:c>
      <x:c r="Z22" s="55" t="n">
        <x:v>4</x:v>
      </x:c>
      <x:c r="AA22" s="55" t="n">
        <x:v>2</x:v>
      </x:c>
      <x:c r="AB22" s="55" t="n">
        <x:v>4</x:v>
      </x:c>
      <x:c r="AC22" s="55" t="n">
        <x:v>5</x:v>
      </x:c>
      <x:c r="AD22" s="61" t="n">
        <x:f>COUNTIF(P22:V22,"Ready")*2+COUNTIF(P22:V22,"Partial")</x:f>
        <x:v>6</x:v>
      </x:c>
      <x:c r="AE22" s="61" t="n">
        <x:f>SUM(W22:AC22)+AD22</x:f>
        <x:v>33</x:v>
      </x:c>
      <x:c r="AF22" s="61" t="str">
        <x:f>IF(AE22&gt;=35,"A — Featured candidate",IF(AE22&gt;=28,"B — Work grid","C — Archive / support"))</x:f>
        <x:v>B — Work grid</x:v>
      </x:c>
      <x:c r="AG22" s="30" t="str">
        <x:v>Playlab / Product work</x:v>
      </x:c>
      <x:c r="AH22" s="30" t="str">
        <x:v>Extract the blueprint into a visual product roadmap and prototype the learner journey, lesson view, and progress state.</x:v>
      </x:c>
      <x:c r="AI22" s="36" t="str">
        <x:v>Public repository verified; no completed-product results available.</x:v>
      </x:c>
    </x:row>
    <x:row r="23">
      <x:c r="A23" s="35" t="str">
        <x:v>PT-019</x:v>
      </x:c>
      <x:c r="B23" s="30" t="str">
        <x:v>Verdant Earth — NGO Website</x:v>
      </x:c>
      <x:c r="C23" s="30" t="str">
        <x:v>Website</x:v>
      </x:c>
      <x:c r="D23" s="30" t="str">
        <x:v>GitHub</x:v>
      </x:c>
      <x:c r="E23" s="30" t="str">
        <x:v>https://github.com/jkidune/verdant-earth</x:v>
      </x:c>
      <x:c r="F23" s="30" t="str">
        <x:v>https://github.com/jkidune/verdant-earth</x:v>
      </x:c>
      <x:c r="G23" s="49" t="n">
        <x:v>46082</x:v>
      </x:c>
      <x:c r="H23" s="30" t="str">
        <x:v>NGO concept / environmental impact</x:v>
      </x:c>
      <x:c r="I23" s="30" t="str">
        <x:v>Completed</x:v>
      </x:c>
      <x:c r="J23" s="30" t="str">
        <x:v>Website builder — verify</x:v>
      </x:c>
      <x:c r="K23" s="30" t="str">
        <x:v>NGO web design; responsive development; environmental storytelling</x:v>
      </x:c>
      <x:c r="L23" s="30" t="str">
        <x:v>TypeScript; Next.js; Tailwind</x:v>
      </x:c>
      <x:c r="M23" s="30" t="str">
        <x:v>Create a website experience for an environmental NGO.</x:v>
      </x:c>
      <x:c r="N23" s="30" t="str">
        <x:v>Use as a supporting sustainability/impact website if its visual execution is strong and sufficiently different from AfrONet/EarthHarvest.</x:v>
      </x:c>
      <x:c r="O23" s="30" t="str">
        <x:v>Repository labels it an NGO Website and contains a TypeScript/Next.js/Tailwind structure; public narrative details are limited.</x:v>
      </x:c>
      <x:c r="P23" s="30" t="str">
        <x:v>Partial</x:v>
      </x:c>
      <x:c r="Q23" s="30" t="str">
        <x:v>Partial</x:v>
      </x:c>
      <x:c r="R23" s="30" t="str">
        <x:v>Need</x:v>
      </x:c>
      <x:c r="S23" s="30" t="str">
        <x:v>Partial</x:v>
      </x:c>
      <x:c r="T23" s="30" t="str">
        <x:v>Need</x:v>
      </x:c>
      <x:c r="U23" s="30" t="str">
        <x:v>Partial</x:v>
      </x:c>
      <x:c r="V23" s="30" t="str">
        <x:v>N/A</x:v>
      </x:c>
      <x:c r="W23" s="55" t="n">
        <x:v>4</x:v>
      </x:c>
      <x:c r="X23" s="55" t="n">
        <x:v>4</x:v>
      </x:c>
      <x:c r="Y23" s="55" t="n">
        <x:v>3</x:v>
      </x:c>
      <x:c r="Z23" s="55" t="n">
        <x:v>4</x:v>
      </x:c>
      <x:c r="AA23" s="55" t="n">
        <x:v>1</x:v>
      </x:c>
      <x:c r="AB23" s="55" t="n">
        <x:v>3</x:v>
      </x:c>
      <x:c r="AC23" s="55" t="n">
        <x:v>4</x:v>
      </x:c>
      <x:c r="AD23" s="61" t="n">
        <x:f>COUNTIF(P23:V23,"Ready")*2+COUNTIF(P23:V23,"Partial")</x:f>
        <x:v>4</x:v>
      </x:c>
      <x:c r="AE23" s="61" t="n">
        <x:f>SUM(W23:AC23)+AD23</x:f>
        <x:v>27</x:v>
      </x:c>
      <x:c r="AF23" s="61" t="str">
        <x:f>IF(AE23&gt;=35,"A — Featured candidate",IF(AE23&gt;=28,"B — Work grid","C — Archive / support"))</x:f>
        <x:v>C — Archive / support</x:v>
      </x:c>
      <x:c r="AG23" s="30" t="str">
        <x:v>Work grid / Support</x:v>
      </x:c>
      <x:c r="AH23" s="30" t="str">
        <x:v>Review overlap with AfrONet/EarthHarvest; only publish if it shows a distinct visual system or technical pattern.</x:v>
      </x:c>
      <x:c r="AI23" s="36" t="str">
        <x:v>Public repository verified; scope and outcomes need confirmation.</x:v>
      </x:c>
    </x:row>
    <x:row r="24">
      <x:c r="A24" s="35" t="str">
        <x:v>PT-020</x:v>
      </x:c>
      <x:c r="B24" s="30" t="str">
        <x:v>Personal Website — Portfolio Website</x:v>
      </x:c>
      <x:c r="C24" s="30" t="str">
        <x:v>Website</x:v>
      </x:c>
      <x:c r="D24" s="30" t="str">
        <x:v>GitHub</x:v>
      </x:c>
      <x:c r="E24" s="30" t="str">
        <x:v>https://github.com/jkidune/personal-website</x:v>
      </x:c>
      <x:c r="F24" s="30" t="str">
        <x:v>https://github.com/jkidune/personal-website</x:v>
      </x:c>
      <x:c r="G24" s="49" t="n">
        <x:v>46189</x:v>
      </x:c>
      <x:c r="H24" s="30" t="str">
        <x:v>Self</x:v>
      </x:c>
      <x:c r="I24" s="30" t="str">
        <x:v>In progress</x:v>
      </x:c>
      <x:c r="J24" s="30" t="str">
        <x:v>Designer / developer</x:v>
      </x:c>
      <x:c r="K24" s="30" t="str">
        <x:v>Portfolio information architecture; personal positioning; CMS; responsive UI</x:v>
      </x:c>
      <x:c r="L24" s="30" t="str">
        <x:v>TypeScript; Next.js; Sanity; OpenNext</x:v>
      </x:c>
      <x:c r="M24" s="30" t="str">
        <x:v>Create a portfolio that can show a multi-disciplinary practice without looking scattered.</x:v>
      </x:c>
      <x:c r="N24" s="30" t="str">
        <x:v>A meta-case study: the portfolio system itself shows how you organise experience, work, and proof.</x:v>
      </x:c>
      <x:c r="O24" s="30" t="str">
        <x:v>Repository identifies the project as a portfolio site for Joseph Masonda and contains Sanity, Next.js, and OpenNext configuration.</x:v>
      </x:c>
      <x:c r="P24" s="30" t="str">
        <x:v>Partial</x:v>
      </x:c>
      <x:c r="Q24" s="30" t="str">
        <x:v>Partial</x:v>
      </x:c>
      <x:c r="R24" s="30" t="str">
        <x:v>Ready</x:v>
      </x:c>
      <x:c r="S24" s="30" t="str">
        <x:v>Partial</x:v>
      </x:c>
      <x:c r="T24" s="30" t="str">
        <x:v>Need</x:v>
      </x:c>
      <x:c r="U24" s="30" t="str">
        <x:v>Partial</x:v>
      </x:c>
      <x:c r="V24" s="30" t="str">
        <x:v>N/A</x:v>
      </x:c>
      <x:c r="W24" s="55" t="n">
        <x:v>5</x:v>
      </x:c>
      <x:c r="X24" s="55" t="n">
        <x:v>4</x:v>
      </x:c>
      <x:c r="Y24" s="55" t="n">
        <x:v>4</x:v>
      </x:c>
      <x:c r="Z24" s="55" t="n">
        <x:v>4</x:v>
      </x:c>
      <x:c r="AA24" s="55" t="n">
        <x:v>1</x:v>
      </x:c>
      <x:c r="AB24" s="55" t="n">
        <x:v>5</x:v>
      </x:c>
      <x:c r="AC24" s="55" t="n">
        <x:v>4</x:v>
      </x:c>
      <x:c r="AD24" s="61" t="n">
        <x:f>COUNTIF(P24:V24,"Ready")*2+COUNTIF(P24:V24,"Partial")</x:f>
        <x:v>6</x:v>
      </x:c>
      <x:c r="AE24" s="61" t="n">
        <x:f>SUM(W24:AC24)+AD24</x:f>
        <x:v>33</x:v>
      </x:c>
      <x:c r="AF24" s="61" t="str">
        <x:f>IF(AE24&gt;=35,"A — Featured candidate",IF(AE24&gt;=28,"B — Work grid","C — Archive / support"))</x:f>
        <x:v>B — Work grid</x:v>
      </x:c>
      <x:c r="AG24" s="30" t="str">
        <x:v>About / small build note</x:v>
      </x:c>
      <x:c r="AH24" s="30" t="str">
        <x:v>Do not feature it as the first project; use it as evidence of system thinking and explain the content model briefly.</x:v>
      </x:c>
      <x:c r="AI24" s="36" t="str">
        <x:v>Public repository verified; current deployment and results need confirmation.</x:v>
      </x:c>
    </x:row>
    <x:row r="25">
      <x:c r="A25" s="35" t="str">
        <x:v>PT-021</x:v>
      </x:c>
      <x:c r="B25" s="30" t="str">
        <x:v>UI Elements Collection</x:v>
      </x:c>
      <x:c r="C25" s="30" t="str">
        <x:v>Design System / UI</x:v>
      </x:c>
      <x:c r="D25" s="30" t="str">
        <x:v>Behance</x:v>
      </x:c>
      <x:c r="E25" s="30" t="str">
        <x:v>https://www.behance.net/kidunejoseph91</x:v>
      </x:c>
      <x:c r="F25" s="30" t="str">
        <x:v>https://www.behance.net/kidunejoseph91</x:v>
      </x:c>
      <x:c r="G25" s="49"/>
      <x:c r="H25" s="30" t="str">
        <x:v>Personal / UI exploration</x:v>
      </x:c>
      <x:c r="I25" s="30" t="str">
        <x:v>Completed</x:v>
      </x:c>
      <x:c r="J25" s="30" t="str">
        <x:v>UI designer — verify</x:v>
      </x:c>
      <x:c r="K25" s="30" t="str">
        <x:v>Interface detail; component design; visual craft</x:v>
      </x:c>
      <x:c r="L25" s="30" t="str">
        <x:v>Figma / Adobe — verify</x:v>
      </x:c>
      <x:c r="M25" s="30" t="str">
        <x:v>A collection that demonstrates visual-system thinking and interface craft.</x:v>
      </x:c>
      <x:c r="N25" s="30" t="str">
        <x:v>Use inside a ‘Visual systems’ collection, supporting web case studies rather than standing alone.</x:v>
      </x:c>
      <x:c r="O25" s="30" t="str">
        <x:v>Behance lists UI Elements; project description not available in profile listing.</x:v>
      </x:c>
      <x:c r="P25" s="30" t="str">
        <x:v>Ready</x:v>
      </x:c>
      <x:c r="Q25" s="30" t="str">
        <x:v>Ready</x:v>
      </x:c>
      <x:c r="R25" s="30" t="str">
        <x:v>Need</x:v>
      </x:c>
      <x:c r="S25" s="30" t="str">
        <x:v>Need</x:v>
      </x:c>
      <x:c r="T25" s="30" t="str">
        <x:v>Need</x:v>
      </x:c>
      <x:c r="U25" s="30" t="str">
        <x:v>Need</x:v>
      </x:c>
      <x:c r="V25" s="30" t="str">
        <x:v>N/A</x:v>
      </x:c>
      <x:c r="W25" s="55" t="n">
        <x:v>4</x:v>
      </x:c>
      <x:c r="X25" s="55" t="n">
        <x:v>4</x:v>
      </x:c>
      <x:c r="Y25" s="55" t="n">
        <x:v>3</x:v>
      </x:c>
      <x:c r="Z25" s="55" t="n">
        <x:v>3</x:v>
      </x:c>
      <x:c r="AA25" s="55" t="n">
        <x:v>1</x:v>
      </x:c>
      <x:c r="AB25" s="55" t="n">
        <x:v>3</x:v>
      </x:c>
      <x:c r="AC25" s="55" t="n">
        <x:v>3</x:v>
      </x:c>
      <x:c r="AD25" s="61" t="n">
        <x:f>COUNTIF(P25:V25,"Ready")*2+COUNTIF(P25:V25,"Partial")</x:f>
        <x:v>4</x:v>
      </x:c>
      <x:c r="AE25" s="61" t="n">
        <x:f>SUM(W25:AC25)+AD25</x:f>
        <x:v>25</x:v>
      </x:c>
      <x:c r="AF25" s="61" t="str">
        <x:f>IF(AE25&gt;=35,"A — Featured candidate",IF(AE25&gt;=28,"B — Work grid","C — Archive / support"))</x:f>
        <x:v>C — Archive / support</x:v>
      </x:c>
      <x:c r="AG25" s="30" t="str">
        <x:v>Work grid / Collection</x:v>
      </x:c>
      <x:c r="AH25" s="30" t="str">
        <x:v>Curate only the strongest components and add states, rationale, and responsive examples.</x:v>
      </x:c>
      <x:c r="AI25" s="36" t="str">
        <x:v>Profile listing verified; manual project audit needed.</x:v>
      </x:c>
    </x:row>
    <x:row r="26">
      <x:c r="A26" s="35" t="str">
        <x:v>PT-022</x:v>
      </x:c>
      <x:c r="B26" s="30" t="str">
        <x:v>Poster Design Work — Selected Collection</x:v>
      </x:c>
      <x:c r="C26" s="30" t="str">
        <x:v>Print / Campaign</x:v>
      </x:c>
      <x:c r="D26" s="30" t="str">
        <x:v>Behance</x:v>
      </x:c>
      <x:c r="E26" s="30" t="str">
        <x:v>https://www.behance.net/kidunejoseph91</x:v>
      </x:c>
      <x:c r="F26" s="30" t="str">
        <x:v>https://www.behance.net/kidunejoseph91</x:v>
      </x:c>
      <x:c r="G26" s="49"/>
      <x:c r="H26" s="30" t="str">
        <x:v>Various</x:v>
      </x:c>
      <x:c r="I26" s="30" t="str">
        <x:v>Completed</x:v>
      </x:c>
      <x:c r="J26" s="30" t="str">
        <x:v>Graphic designer — verify</x:v>
      </x:c>
      <x:c r="K26" s="30" t="str">
        <x:v>Poster design; campaign communication; hierarchy; visual craft</x:v>
      </x:c>
      <x:c r="L26" s="30" t="str">
        <x:v>Adobe suite — verify</x:v>
      </x:c>
      <x:c r="M26" s="30" t="str">
        <x:v>Show a selected range of communication visuals without diluting higher-value case studies.</x:v>
      </x:c>
      <x:c r="N26" s="30" t="str">
        <x:v>A rapid visual proof of range: one card, 6–12 carefully selected images, short captions.</x:v>
      </x:c>
      <x:c r="O26" s="30" t="str">
        <x:v>Behance lists Poster Design Work; client and outcome detail were not publicly extracted.</x:v>
      </x:c>
      <x:c r="P26" s="30" t="str">
        <x:v>Ready</x:v>
      </x:c>
      <x:c r="Q26" s="30" t="str">
        <x:v>Ready</x:v>
      </x:c>
      <x:c r="R26" s="30" t="str">
        <x:v>Need</x:v>
      </x:c>
      <x:c r="S26" s="30" t="str">
        <x:v>Need</x:v>
      </x:c>
      <x:c r="T26" s="30" t="str">
        <x:v>Need</x:v>
      </x:c>
      <x:c r="U26" s="30" t="str">
        <x:v>Need</x:v>
      </x:c>
      <x:c r="V26" s="30" t="str">
        <x:v>Need</x:v>
      </x:c>
      <x:c r="W26" s="55" t="n">
        <x:v>4</x:v>
      </x:c>
      <x:c r="X26" s="55" t="n">
        <x:v>4</x:v>
      </x:c>
      <x:c r="Y26" s="55" t="n">
        <x:v>2</x:v>
      </x:c>
      <x:c r="Z26" s="55" t="n">
        <x:v>3</x:v>
      </x:c>
      <x:c r="AA26" s="55" t="n">
        <x:v>1</x:v>
      </x:c>
      <x:c r="AB26" s="55" t="n">
        <x:v>3</x:v>
      </x:c>
      <x:c r="AC26" s="55" t="n">
        <x:v>3</x:v>
      </x:c>
      <x:c r="AD26" s="61" t="n">
        <x:f>COUNTIF(P26:V26,"Ready")*2+COUNTIF(P26:V26,"Partial")</x:f>
        <x:v>4</x:v>
      </x:c>
      <x:c r="AE26" s="61" t="n">
        <x:f>SUM(W26:AC26)+AD26</x:f>
        <x:v>24</x:v>
      </x:c>
      <x:c r="AF26" s="61" t="str">
        <x:f>IF(AE26&gt;=35,"A — Featured candidate",IF(AE26&gt;=28,"B — Work grid","C — Archive / support"))</x:f>
        <x:v>C — Archive / support</x:v>
      </x:c>
      <x:c r="AG26" s="30" t="str">
        <x:v>Archive / Collection</x:v>
      </x:c>
      <x:c r="AH26" s="30" t="str">
        <x:v>Curate for consistency; exclude weaker work and identify the target audience/purpose for every selected poster.</x:v>
      </x:c>
      <x:c r="AI26" s="36" t="str">
        <x:v>Profile listing verified; manual selection needed.</x:v>
      </x:c>
    </x:row>
    <x:row r="27">
      <x:c r="A27" s="35" t="str">
        <x:v>PT-023</x:v>
      </x:c>
      <x:c r="B27" s="30" t="str">
        <x:v>Roll-Up Banner Collection</x:v>
      </x:c>
      <x:c r="C27" s="30" t="str">
        <x:v>Print / Event</x:v>
      </x:c>
      <x:c r="D27" s="30" t="str">
        <x:v>Behance</x:v>
      </x:c>
      <x:c r="E27" s="30" t="str">
        <x:v>https://www.behance.net/kidunejoseph91</x:v>
      </x:c>
      <x:c r="F27" s="30" t="str">
        <x:v>https://www.behance.net/kidunejoseph91</x:v>
      </x:c>
      <x:c r="G27" s="49"/>
      <x:c r="H27" s="30" t="str">
        <x:v>Various</x:v>
      </x:c>
      <x:c r="I27" s="30" t="str">
        <x:v>Completed</x:v>
      </x:c>
      <x:c r="J27" s="30" t="str">
        <x:v>Graphic designer — verify</x:v>
      </x:c>
      <x:c r="K27" s="30" t="str">
        <x:v>Large-format layout; information hierarchy; event communications</x:v>
      </x:c>
      <x:c r="L27" s="30" t="str">
        <x:v>Adobe suite — verify</x:v>
      </x:c>
      <x:c r="M27" s="30" t="str">
        <x:v>Large-format designs must read quickly, work from a distance, and remain consistent with the brand.</x:v>
      </x:c>
      <x:c r="N27" s="30" t="str">
        <x:v>Supporting collection for recruiters seeking practical print/event communication ability.</x:v>
      </x:c>
      <x:c r="O27" s="30" t="str">
        <x:v>Behance lists Roll Up Banners; no detailed brief in profile listing.</x:v>
      </x:c>
      <x:c r="P27" s="30" t="str">
        <x:v>Ready</x:v>
      </x:c>
      <x:c r="Q27" s="30" t="str">
        <x:v>Ready</x:v>
      </x:c>
      <x:c r="R27" s="30" t="str">
        <x:v>Need</x:v>
      </x:c>
      <x:c r="S27" s="30" t="str">
        <x:v>Need</x:v>
      </x:c>
      <x:c r="T27" s="30" t="str">
        <x:v>Need</x:v>
      </x:c>
      <x:c r="U27" s="30" t="str">
        <x:v>Need</x:v>
      </x:c>
      <x:c r="V27" s="30" t="str">
        <x:v>Need</x:v>
      </x:c>
      <x:c r="W27" s="55" t="n">
        <x:v>3</x:v>
      </x:c>
      <x:c r="X27" s="55" t="n">
        <x:v>3</x:v>
      </x:c>
      <x:c r="Y27" s="55" t="n">
        <x:v>2</x:v>
      </x:c>
      <x:c r="Z27" s="55" t="n">
        <x:v>3</x:v>
      </x:c>
      <x:c r="AA27" s="55" t="n">
        <x:v>1</x:v>
      </x:c>
      <x:c r="AB27" s="55" t="n">
        <x:v>3</x:v>
      </x:c>
      <x:c r="AC27" s="55" t="n">
        <x:v>2</x:v>
      </x:c>
      <x:c r="AD27" s="61" t="n">
        <x:f>COUNTIF(P27:V27,"Ready")*2+COUNTIF(P27:V27,"Partial")</x:f>
        <x:v>4</x:v>
      </x:c>
      <x:c r="AE27" s="61" t="n">
        <x:f>SUM(W27:AC27)+AD27</x:f>
        <x:v>21</x:v>
      </x:c>
      <x:c r="AF27" s="61" t="str">
        <x:f>IF(AE27&gt;=35,"A — Featured candidate",IF(AE27&gt;=28,"B — Work grid","C — Archive / support"))</x:f>
        <x:v>C — Archive / support</x:v>
      </x:c>
      <x:c r="AG27" s="30" t="str">
        <x:v>Archive / Collection</x:v>
      </x:c>
      <x:c r="AH27" s="30" t="str">
        <x:v>Show 3 strongest banners in situ, with title, audience, and message hierarchy note.</x:v>
      </x:c>
      <x:c r="AI27" s="36" t="str">
        <x:v>Profile listing verified; manual selection needed.</x:v>
      </x:c>
    </x:row>
    <x:row r="28">
      <x:c r="A28" s="35" t="str">
        <x:v>PT-024</x:v>
      </x:c>
      <x:c r="B28" s="30" t="str">
        <x:v>Vimeo — Director of Photography / Visual Stories</x:v>
      </x:c>
      <x:c r="C28" s="30" t="str">
        <x:v>Video / Film</x:v>
      </x:c>
      <x:c r="D28" s="30" t="str">
        <x:v>Vimeo</x:v>
      </x:c>
      <x:c r="E28" s="30" t="str">
        <x:v>https://vimeo.com/user68688471?fl=pp&amp;fe=sh</x:v>
      </x:c>
      <x:c r="F28" s="30" t="str">
        <x:v>https://vimeo.com/user68688471?fl=pp&amp;fe=sh</x:v>
      </x:c>
      <x:c r="G28" s="49"/>
      <x:c r="H28" s="30" t="str">
        <x:v>Video portfolio</x:v>
      </x:c>
      <x:c r="I28" s="30" t="str">
        <x:v>Needs review</x:v>
      </x:c>
      <x:c r="J28" s="30" t="str">
        <x:v>Director of Photography (profile designation)</x:v>
      </x:c>
      <x:c r="K28" s="30" t="str">
        <x:v>Videography; direction of photography; visual storytelling; event/documentary proof</x:v>
      </x:c>
      <x:c r="L28" s="30" t="str">
        <x:v>Camera/editing stack — verify</x:v>
      </x:c>
      <x:c r="M28" s="30" t="str">
        <x:v>Show video work alongside web/brand work without competing with the core portfolio narrative.</x:v>
      </x:c>
      <x:c r="N28" s="30" t="str">
        <x:v>A compact ‘Visual stories’ reel adds movement, emotional range, and proof of production craft.</x:v>
      </x:c>
      <x:c r="O28" s="30" t="str">
        <x:v>Vimeo profile identifies Joseph Masonda as Director of Photography; individual video titles were not exposed for reliable extraction.</x:v>
      </x:c>
      <x:c r="P28" s="30" t="str">
        <x:v>Need</x:v>
      </x:c>
      <x:c r="Q28" s="30" t="str">
        <x:v>Need</x:v>
      </x:c>
      <x:c r="R28" s="30" t="str">
        <x:v>Need</x:v>
      </x:c>
      <x:c r="S28" s="30" t="str">
        <x:v>Need</x:v>
      </x:c>
      <x:c r="T28" s="30" t="str">
        <x:v>Need</x:v>
      </x:c>
      <x:c r="U28" s="30" t="str">
        <x:v>Partial</x:v>
      </x:c>
      <x:c r="V28" s="30" t="str">
        <x:v>Need</x:v>
      </x:c>
      <x:c r="W28" s="55" t="n">
        <x:v>4</x:v>
      </x:c>
      <x:c r="X28" s="55" t="n">
        <x:v>4</x:v>
      </x:c>
      <x:c r="Y28" s="55" t="n">
        <x:v>3</x:v>
      </x:c>
      <x:c r="Z28" s="55" t="n">
        <x:v>3</x:v>
      </x:c>
      <x:c r="AA28" s="55" t="n">
        <x:v>1</x:v>
      </x:c>
      <x:c r="AB28" s="55" t="n">
        <x:v>4</x:v>
      </x:c>
      <x:c r="AC28" s="55" t="n">
        <x:v>5</x:v>
      </x:c>
      <x:c r="AD28" s="61" t="n">
        <x:f>COUNTIF(P28:V28,"Ready")*2+COUNTIF(P28:V28,"Partial")</x:f>
        <x:v>1</x:v>
      </x:c>
      <x:c r="AE28" s="61" t="n">
        <x:f>SUM(W28:AC28)+AD28</x:f>
        <x:v>25</x:v>
      </x:c>
      <x:c r="AF28" s="61" t="str">
        <x:f>IF(AE28&gt;=35,"A — Featured candidate",IF(AE28&gt;=28,"B — Work grid","C — Archive / support"))</x:f>
        <x:v>C — Archive / support</x:v>
      </x:c>
      <x:c r="AG28" s="30" t="str">
        <x:v>Video reel</x:v>
      </x:c>
      <x:c r="AH28" s="30" t="str">
        <x:v>Manually select 3 strongest videos, capture title/client/role/duration, embed links, and create one 45–60 second reel.</x:v>
      </x:c>
      <x:c r="AI28" s="36" t="str">
        <x:v>Profile verified; individual project data requires manual review.</x:v>
      </x:c>
    </x:row>
    <x:row r="29">
      <x:c r="A29" s="35" t="str">
        <x:v>PT-025</x:v>
      </x:c>
      <x:c r="B29" s="30" t="str">
        <x:v>Automating Workflows from Community to Ministries with AI as Drivers</x:v>
      </x:c>
      <x:c r="C29" s="30" t="str">
        <x:v>Article / Thought Leadership</x:v>
      </x:c>
      <x:c r="D29" s="30" t="str">
        <x:v>Medium</x:v>
      </x:c>
      <x:c r="E29" s="30" t="str">
        <x:v>https://medium.com/%40kidunejoseph91/digital-innovation-has-quietly-rewritten-the-rules-of-daily-life-like-how-we-communicate-how-we-2de02920c4f4</x:v>
      </x:c>
      <x:c r="F29" s="30" t="str">
        <x:v>https://medium.com/%40kidunejoseph91/digital-innovation-has-quietly-rewritten-the-rules-of-daily-life-like-how-we-communicate-how-we-2de02920c4f4</x:v>
      </x:c>
      <x:c r="G29" s="49" t="n">
        <x:v>46058</x:v>
      </x:c>
      <x:c r="H29" s="30" t="str">
        <x:v>Personal thought leadership</x:v>
      </x:c>
      <x:c r="I29" s="30" t="str">
        <x:v>Published</x:v>
      </x:c>
      <x:c r="J29" s="30" t="str">
        <x:v>Writer / communications professional</x:v>
      </x:c>
      <x:c r="K29" s="30" t="str">
        <x:v>AI strategy; digital transformation; explanatory writing; systems thinking</x:v>
      </x:c>
      <x:c r="L29" s="30" t="str">
        <x:v>Writing / research / AI workflow</x:v>
      </x:c>
      <x:c r="M29" s="30" t="str">
        <x:v>Translate digital innovation and AI into practical implications for work across community and government systems.</x:v>
      </x:c>
      <x:c r="N29" s="30" t="str">
        <x:v>Use as a proof of strategic thinking—one that strengthens the ‘impact + technology’ narrative.</x:v>
      </x:c>
      <x:c r="O29" s="30" t="str">
        <x:v>Medium publishes the article under Joseph Masonda; add read count, excerpt, pull quote, and related project connection if available.</x:v>
      </x:c>
      <x:c r="P29" s="30" t="str">
        <x:v>Ready</x:v>
      </x:c>
      <x:c r="Q29" s="30" t="str">
        <x:v>Partial</x:v>
      </x:c>
      <x:c r="R29" s="30" t="str">
        <x:v>Ready</x:v>
      </x:c>
      <x:c r="S29" s="30" t="str">
        <x:v>Need</x:v>
      </x:c>
      <x:c r="T29" s="30" t="str">
        <x:v>Partial</x:v>
      </x:c>
      <x:c r="U29" s="30" t="str">
        <x:v>Ready</x:v>
      </x:c>
      <x:c r="V29" s="30" t="str">
        <x:v>N/A</x:v>
      </x:c>
      <x:c r="W29" s="55" t="n">
        <x:v>4</x:v>
      </x:c>
      <x:c r="X29" s="55" t="n">
        <x:v>3</x:v>
      </x:c>
      <x:c r="Y29" s="55" t="n">
        <x:v>4</x:v>
      </x:c>
      <x:c r="Z29" s="55" t="n">
        <x:v>3</x:v>
      </x:c>
      <x:c r="AA29" s="55" t="n">
        <x:v>2</x:v>
      </x:c>
      <x:c r="AB29" s="55" t="n">
        <x:v>5</x:v>
      </x:c>
      <x:c r="AC29" s="55" t="n">
        <x:v>5</x:v>
      </x:c>
      <x:c r="AD29" s="61" t="n">
        <x:f>COUNTIF(P29:V29,"Ready")*2+COUNTIF(P29:V29,"Partial")</x:f>
        <x:v>8</x:v>
      </x:c>
      <x:c r="AE29" s="61" t="n">
        <x:f>SUM(W29:AC29)+AD29</x:f>
        <x:v>34</x:v>
      </x:c>
      <x:c r="AF29" s="61" t="str">
        <x:f>IF(AE29&gt;=35,"A — Featured candidate",IF(AE29&gt;=28,"B — Work grid","C — Archive / support"))</x:f>
        <x:v>B — Work grid</x:v>
      </x:c>
      <x:c r="AG29" s="30" t="str">
        <x:v>Ideas / Writing</x:v>
      </x:c>
      <x:c r="AH29" s="30" t="str">
        <x:v>Create a simple editorial card: headline, 35-word excerpt, pull quote, and link to the full piece.</x:v>
      </x:c>
      <x:c r="AI29" s="36" t="str">
        <x:v>Public article verified; readership metrics not collected.</x:v>
      </x:c>
    </x:row>
    <x:row r="30">
      <x:c r="A30" s="35" t="str">
        <x:v>PT-026</x:v>
      </x:c>
      <x:c r="B30" s="30" t="str">
        <x:v>50 Years of the Institute of Adult Education: A Nation’s Promise, Renewed</x:v>
      </x:c>
      <x:c r="C30" s="30" t="str">
        <x:v>Article / Thought Leadership</x:v>
      </x:c>
      <x:c r="D30" s="30" t="str">
        <x:v>Medium</x:v>
      </x:c>
      <x:c r="E30" s="30" t="str">
        <x:v>https://medium.com/%40kidunejoseph91/50-years-of-the-institute-of-adult-education-a-nations-promise-renewed-22d779aa3f2b</x:v>
      </x:c>
      <x:c r="F30" s="30" t="str">
        <x:v>https://medium.com/%40kidunejoseph91/50-years-of-the-institute-of-adult-education-a-nations-promise-renewed-22d779aa3f2b</x:v>
      </x:c>
      <x:c r="G30" s="49" t="n">
        <x:v>45929</x:v>
      </x:c>
      <x:c r="H30" s="30" t="str">
        <x:v>Personal thought leadership / adult education</x:v>
      </x:c>
      <x:c r="I30" s="30" t="str">
        <x:v>Published</x:v>
      </x:c>
      <x:c r="J30" s="30" t="str">
        <x:v>Writer / communications professional</x:v>
      </x:c>
      <x:c r="K30" s="30" t="str">
        <x:v>Institutional storytelling; adult education; national-development narrative</x:v>
      </x:c>
      <x:c r="L30" s="30" t="str">
        <x:v>Writing / research</x:v>
      </x:c>
      <x:c r="M30" s="30" t="str">
        <x:v>Tell an institution’s history and continuing public value in a compelling, accessible form.</x:v>
      </x:c>
      <x:c r="N30" s="30" t="str">
        <x:v>Shows your ability to connect institutional legacy, public interest, and contemporary communication.</x:v>
      </x:c>
      <x:c r="O30" s="30" t="str">
        <x:v>Medium publishes the article under Joseph Masonda; prepare a teaser with a historical visual, quotation, and link.</x:v>
      </x:c>
      <x:c r="P30" s="30" t="str">
        <x:v>Ready</x:v>
      </x:c>
      <x:c r="Q30" s="30" t="str">
        <x:v>Partial</x:v>
      </x:c>
      <x:c r="R30" s="30" t="str">
        <x:v>Ready</x:v>
      </x:c>
      <x:c r="S30" s="30" t="str">
        <x:v>Need</x:v>
      </x:c>
      <x:c r="T30" s="30" t="str">
        <x:v>Partial</x:v>
      </x:c>
      <x:c r="U30" s="30" t="str">
        <x:v>Ready</x:v>
      </x:c>
      <x:c r="V30" s="30" t="str">
        <x:v>N/A</x:v>
      </x:c>
      <x:c r="W30" s="55" t="n">
        <x:v>5</x:v>
      </x:c>
      <x:c r="X30" s="55" t="n">
        <x:v>3</x:v>
      </x:c>
      <x:c r="Y30" s="55" t="n">
        <x:v>3</x:v>
      </x:c>
      <x:c r="Z30" s="55" t="n">
        <x:v>3</x:v>
      </x:c>
      <x:c r="AA30" s="55" t="n">
        <x:v>2</x:v>
      </x:c>
      <x:c r="AB30" s="55" t="n">
        <x:v>5</x:v>
      </x:c>
      <x:c r="AC30" s="55" t="n">
        <x:v>4</x:v>
      </x:c>
      <x:c r="AD30" s="61" t="n">
        <x:f>COUNTIF(P30:V30,"Ready")*2+COUNTIF(P30:V30,"Partial")</x:f>
        <x:v>8</x:v>
      </x:c>
      <x:c r="AE30" s="61" t="n">
        <x:f>SUM(W30:AC30)+AD30</x:f>
        <x:v>33</x:v>
      </x:c>
      <x:c r="AF30" s="61" t="str">
        <x:f>IF(AE30&gt;=35,"A — Featured candidate",IF(AE30&gt;=28,"B — Work grid","C — Archive / support"))</x:f>
        <x:v>B — Work grid</x:v>
      </x:c>
      <x:c r="AG30" s="30" t="str">
        <x:v>Ideas / Writing</x:v>
      </x:c>
      <x:c r="AH30" s="30" t="str">
        <x:v>Add a pull quote, one archival image or graphic, and a succinct ‘why this matters now’ statement.</x:v>
      </x:c>
      <x:c r="AI30" s="36" t="str">
        <x:v>Public article verified; reach metrics not collected.</x:v>
      </x:c>
    </x:row>
    <x:row r="31">
      <x:c r="A31" s="35" t="str">
        <x:v>PT-027</x:v>
      </x:c>
      <x:c r="B31" s="30" t="str">
        <x:v>How the Community Learning Centre is Helping Adult Learners Achieve Sustainable Success</x:v>
      </x:c>
      <x:c r="C31" s="30" t="str">
        <x:v>Article / Impact Story</x:v>
      </x:c>
      <x:c r="D31" s="30" t="str">
        <x:v>Medium</x:v>
      </x:c>
      <x:c r="E31" s="30" t="str">
        <x:v>https://medium.com/%40kidunejoseph91/how-the-community-learning-centre-is-helping-adult-learners-achieve-sustainable-success-a681f3a748c0</x:v>
      </x:c>
      <x:c r="F31" s="30" t="str">
        <x:v>https://medium.com/%40kidunejoseph91/how-the-community-learning-centre-is-helping-adult-learners-achieve-sustainable-success-a681f3a748c0</x:v>
      </x:c>
      <x:c r="G31" s="49" t="n">
        <x:v>45454</x:v>
      </x:c>
      <x:c r="H31" s="30" t="str">
        <x:v>Personal thought leadership / adult education</x:v>
      </x:c>
      <x:c r="I31" s="30" t="str">
        <x:v>Published</x:v>
      </x:c>
      <x:c r="J31" s="30" t="str">
        <x:v>Writer / impact storyteller</x:v>
      </x:c>
      <x:c r="K31" s="30" t="str">
        <x:v>Impact communication; development writing; narrative storytelling</x:v>
      </x:c>
      <x:c r="L31" s="30" t="str">
        <x:v>Writing / impact storytelling</x:v>
      </x:c>
      <x:c r="M31" s="30" t="str">
        <x:v>Explain how community learning models create practical change for adult learners.</x:v>
      </x:c>
      <x:c r="N31" s="30" t="str">
        <x:v>Strong proof of impact storytelling and your ability to make community-level work understandable and human.</x:v>
      </x:c>
      <x:c r="O31" s="30" t="str">
        <x:v>Medium publishes the article under Joseph Masonda; enrich with learner quotations, photos, and any project data you have permission to share.</x:v>
      </x:c>
      <x:c r="P31" s="30" t="str">
        <x:v>Ready</x:v>
      </x:c>
      <x:c r="Q31" s="30" t="str">
        <x:v>Partial</x:v>
      </x:c>
      <x:c r="R31" s="30" t="str">
        <x:v>Ready</x:v>
      </x:c>
      <x:c r="S31" s="30" t="str">
        <x:v>Need</x:v>
      </x:c>
      <x:c r="T31" s="30" t="str">
        <x:v>Partial</x:v>
      </x:c>
      <x:c r="U31" s="30" t="str">
        <x:v>Ready</x:v>
      </x:c>
      <x:c r="V31" s="30" t="str">
        <x:v>Need</x:v>
      </x:c>
      <x:c r="W31" s="55" t="n">
        <x:v>5</x:v>
      </x:c>
      <x:c r="X31" s="55" t="n">
        <x:v>4</x:v>
      </x:c>
      <x:c r="Y31" s="55" t="n">
        <x:v>3</x:v>
      </x:c>
      <x:c r="Z31" s="55" t="n">
        <x:v>3</x:v>
      </x:c>
      <x:c r="AA31" s="55" t="n">
        <x:v>2</x:v>
      </x:c>
      <x:c r="AB31" s="55" t="n">
        <x:v>5</x:v>
      </x:c>
      <x:c r="AC31" s="55" t="n">
        <x:v>5</x:v>
      </x:c>
      <x:c r="AD31" s="61" t="n">
        <x:f>COUNTIF(P31:V31,"Ready")*2+COUNTIF(P31:V31,"Partial")</x:f>
        <x:v>8</x:v>
      </x:c>
      <x:c r="AE31" s="61" t="n">
        <x:f>SUM(W31:AC31)+AD31</x:f>
        <x:v>35</x:v>
      </x:c>
      <x:c r="AF31" s="61" t="str">
        <x:f>IF(AE31&gt;=35,"A — Featured candidate",IF(AE31&gt;=28,"B — Work grid","C — Archive / support"))</x:f>
        <x:v>A — Featured candidate</x:v>
      </x:c>
      <x:c r="AG31" s="30" t="str">
        <x:v>Ideas / Writing</x:v>
      </x:c>
      <x:c r="AH31" s="30" t="str">
        <x:v>Repurpose into a visual story card with 1 quote, 1 image, and a 3-point impact summary.</x:v>
      </x:c>
      <x:c r="AI31" s="36" t="str">
        <x:v>Public article verified; image permission and impact metrics need confirmation.</x:v>
      </x:c>
    </x:row>
    <x:row r="32">
      <x:c r="A32" s="37" t="str">
        <x:v>PT-028</x:v>
      </x:c>
      <x:c r="B32" s="38" t="str">
        <x:v>How Can Communication Experts Incorporate AI into Their Daily Work?</x:v>
      </x:c>
      <x:c r="C32" s="38" t="str">
        <x:v>Article / Thought Leadership</x:v>
      </x:c>
      <x:c r="D32" s="38" t="str">
        <x:v>Medium</x:v>
      </x:c>
      <x:c r="E32" s="38" t="str">
        <x:v>https://medium.com/%40kidunejoseph91/how-can-communication-experts-incorporate-ai-into-their-daily-work-d2b66cc4183b</x:v>
      </x:c>
      <x:c r="F32" s="38" t="str">
        <x:v>https://medium.com/%40kidunejoseph91/how-can-communication-experts-incorporate-ai-into-their-daily-work-d2b66cc4183b</x:v>
      </x:c>
      <x:c r="G32" s="50" t="n">
        <x:v>45702</x:v>
      </x:c>
      <x:c r="H32" s="38" t="str">
        <x:v>Personal thought leadership</x:v>
      </x:c>
      <x:c r="I32" s="38" t="str">
        <x:v>Published</x:v>
      </x:c>
      <x:c r="J32" s="38" t="str">
        <x:v>Writer / communications professional</x:v>
      </x:c>
      <x:c r="K32" s="38" t="str">
        <x:v>AI adoption; communications strategy; practical guidance</x:v>
      </x:c>
      <x:c r="L32" s="38" t="str">
        <x:v>Writing / AI workflow</x:v>
      </x:c>
      <x:c r="M32" s="38" t="str">
        <x:v>Help communications practitioners understand practical, responsible uses of AI in daily work.</x:v>
      </x:c>
      <x:c r="N32" s="38" t="str">
        <x:v>Supports your positioning as a communications professional who can translate emerging tools into useful practice.</x:v>
      </x:c>
      <x:c r="O32" s="38" t="str">
        <x:v>Medium publishes the article under Joseph Masonda; use an excerpt only, with a link to the full article.</x:v>
      </x:c>
      <x:c r="P32" s="38" t="str">
        <x:v>Ready</x:v>
      </x:c>
      <x:c r="Q32" s="38" t="str">
        <x:v>Partial</x:v>
      </x:c>
      <x:c r="R32" s="38" t="str">
        <x:v>Ready</x:v>
      </x:c>
      <x:c r="S32" s="38" t="str">
        <x:v>Need</x:v>
      </x:c>
      <x:c r="T32" s="38" t="str">
        <x:v>Partial</x:v>
      </x:c>
      <x:c r="U32" s="38" t="str">
        <x:v>Ready</x:v>
      </x:c>
      <x:c r="V32" s="38" t="str">
        <x:v>N/A</x:v>
      </x:c>
      <x:c r="W32" s="56" t="n">
        <x:v>5</x:v>
      </x:c>
      <x:c r="X32" s="56" t="n">
        <x:v>3</x:v>
      </x:c>
      <x:c r="Y32" s="56" t="n">
        <x:v>3</x:v>
      </x:c>
      <x:c r="Z32" s="56" t="n">
        <x:v>3</x:v>
      </x:c>
      <x:c r="AA32" s="56" t="n">
        <x:v>2</x:v>
      </x:c>
      <x:c r="AB32" s="56" t="n">
        <x:v>5</x:v>
      </x:c>
      <x:c r="AC32" s="56" t="n">
        <x:v>4</x:v>
      </x:c>
      <x:c r="AD32" s="62" t="n">
        <x:f>COUNTIF(P32:V32,"Ready")*2+COUNTIF(P32:V32,"Partial")</x:f>
        <x:v>8</x:v>
      </x:c>
      <x:c r="AE32" s="62" t="n">
        <x:f>SUM(W32:AC32)+AD32</x:f>
        <x:v>33</x:v>
      </x:c>
      <x:c r="AF32" s="62" t="str">
        <x:f>IF(AE32&gt;=35,"A — Featured candidate",IF(AE32&gt;=28,"B — Work grid","C — Archive / support"))</x:f>
        <x:v>B — Work grid</x:v>
      </x:c>
      <x:c r="AG32" s="38" t="str">
        <x:v>Ideas / Writing</x:v>
      </x:c>
      <x:c r="AH32" s="38" t="str">
        <x:v>Create a single visual card that states the practical point and links to the article.</x:v>
      </x:c>
      <x:c r="AI32" s="39" t="str">
        <x:v>Public article verified; reach metrics not collected.</x:v>
      </x:c>
    </x:row>
  </x:sheetData>
  <x:mergeCells>
    <x:mergeCell ref="A1:AI1"/>
    <x:mergeCell ref="A2:AI2"/>
  </x:mergeCells>
  <x:conditionalFormatting sqref="AD5:AE32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dataValidations count="4">
    <x:dataValidation type="list" sqref="P5:V100">
      <x:formula1>"Ready,Partial,Need,N/A"</x:formula1>
    </x:dataValidation>
    <x:dataValidation type="list" sqref="I5:I100">
      <x:formula1>"Live,Completed,Personal,Concept,In progress,Published,Needs review,Archive"</x:formula1>
    </x:dataValidation>
    <x:dataValidation type="list" sqref="C5:C100">
      <x:formula1>"Website,Website / Template,Template,UI/UX Website,Brand Identity,Brand / Corporate Profile,Event / Content,Event / Print,Web App,Learning Platform,Design System / UI,Print / Campaign,Print / Event,Video / Film,Article / Thought Leadership,Article / Impact Story"</x:formula1>
    </x:dataValidation>
    <x:dataValidation type="list" sqref="AG5:AG100">
      <x:formula1>"Featured case study,Work grid,Work grid / Content,Work grid / Collection,Playlab / Product work,Playlab / Product work,Video reel,Ideas / Writing,About / small build note,Archive / Collection,Work grid / Support"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736869f09634c1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1" hidden="0" customWidth="1"/>
    <x:col min="3" max="3" width="31" hidden="0" customWidth="1"/>
    <x:col min="4" max="4" width="18" hidden="0" customWidth="1"/>
    <x:col min="5" max="5" width="34" hidden="0" customWidth="1"/>
    <x:col min="6" max="6" width="30" hidden="0" customWidth="1"/>
    <x:col min="7" max="7" width="36" hidden="0" customWidth="1"/>
    <x:col min="8" max="8" width="34" hidden="0" customWidth="1"/>
    <x:col min="9" max="9" width="32" hidden="0" customWidth="1"/>
    <x:col min="10" max="10" width="34" hidden="0" customWidth="1"/>
    <x:col min="11" max="11" width="34" hidden="0" customWidth="1"/>
    <x:col min="12" max="12" width="38" hidden="0" customWidth="1"/>
    <x:col min="13" max="13" width="34" hidden="0" customWidth="1"/>
    <x:col min="14" max="14" width="46" hidden="0" customWidth="1"/>
    <x:col min="15" max="15" width="14" hidden="0" customWidth="1"/>
  </x:cols>
  <x:sheetData>
    <x:row r="1">
      <x:c r="A1" s="5" t="str">
        <x:v>Case Study Briefs — build these first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</x:row>
    <x:row r="2">
      <x:c r="A2" s="13" t="str">
        <x:v>These eight are chosen for range and recruiter relevance. Each case study should read in under three minutes: context → decisions → proof → link.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</x:row>
    <x:row r="4" ht="34" customHeight="1">
      <x:c r="A4" s="22" t="str">
        <x:v>Rank</x:v>
      </x:c>
      <x:c r="B4" s="22" t="str">
        <x:v>Project ID</x:v>
      </x:c>
      <x:c r="C4" s="22" t="str">
        <x:v>Project</x:v>
      </x:c>
      <x:c r="D4" s="22" t="str">
        <x:v>Portfolio Placement</x:v>
      </x:c>
      <x:c r="E4" s="22" t="str">
        <x:v>Suggested Case-Study Title</x:v>
      </x:c>
      <x:c r="F4" s="22" t="str">
        <x:v>Recruiter Signal</x:v>
      </x:c>
      <x:c r="G4" s="22" t="str">
        <x:v>Card Copy (40–55 words)</x:v>
      </x:c>
      <x:c r="H4" s="22" t="str">
        <x:v>Challenge / Context</x:v>
      </x:c>
      <x:c r="I4" s="22" t="str">
        <x:v>What I Did</x:v>
      </x:c>
      <x:c r="J4" s="22" t="str">
        <x:v>Key Decisions / Features</x:v>
      </x:c>
      <x:c r="K4" s="22" t="str">
        <x:v>Result / Proof (do not invent)</x:v>
      </x:c>
      <x:c r="L4" s="22" t="str">
        <x:v>Essential Visual Sequence</x:v>
      </x:c>
      <x:c r="M4" s="22" t="str">
        <x:v>Evidence to Capture</x:v>
      </x:c>
      <x:c r="N4" s="22" t="str">
        <x:v>Source / Links</x:v>
      </x:c>
      <x:c r="O4" s="22" t="str">
        <x:v>Status</x:v>
      </x:c>
    </x:row>
    <x:row r="5">
      <x:c r="A5" s="32" t="n">
        <x:v>1</x:v>
      </x:c>
      <x:c r="B5" s="33" t="str">
        <x:v>PT-001</x:v>
      </x:c>
      <x:c r="C5" s="33" t="str">
        <x:v>AfrONet — African Organic Network</x:v>
      </x:c>
      <x:c r="D5" s="33" t="str">
        <x:v>Featured case study</x:v>
      </x:c>
      <x:c r="E5" s="33" t="str">
        <x:v>Building credibility for Africa’s organic agriculture network</x:v>
      </x:c>
      <x:c r="F5" s="33" t="str">
        <x:v>Impact website + scalable publishing + mission-led information architecture</x:v>
      </x:c>
      <x:c r="G5" s="33" t="str">
        <x:v>A digital home for an African organic network—designed to make complex programmes, news, and regional work feel credible, navigable, and active.</x:v>
      </x:c>
      <x:c r="H5" s="33" t="str">
        <x:v>The site had to carry the scale of a continental organic agriculture mission without overwhelming visitors.</x:v>
      </x:c>
      <x:c r="I5" s="33" t="str">
        <x:v>Clarified the content hierarchy, shaped an editorial website experience, and supported a CMS-driven publishing system.</x:v>
      </x:c>
      <x:c r="J5" s="33" t="str">
        <x:v>Programme structure; editorial layouts; responsive navigation; CMS-ready content; trust-building visual system.</x:v>
      </x:c>
      <x:c r="K5" s="33" t="str">
        <x:v>Public description confirms a live digital presence; add traffic, enquiry, publication, or stakeholder feedback data.</x:v>
      </x:c>
      <x:c r="L5" s="33" t="str">
        <x:v>1 hero / 2 key programme screens / 1 news or CMS proof / 3 mobile frames / 1 impact or trust panel.</x:v>
      </x:c>
      <x:c r="M5" s="33" t="str">
        <x:v>Exact role; final live URL; CMS model; analytics; client quote; permission.</x:v>
      </x:c>
      <x:c r="N5" s="33" t="str">
        <x:v>https://afronet.bio | https://github.com/jkidune/afronet-web</x:v>
      </x:c>
      <x:c r="O5" s="34" t="str">
        <x:v>Build assets</x:v>
      </x:c>
    </x:row>
    <x:row r="6">
      <x:c r="A6" s="35" t="n">
        <x:v>2</x:v>
      </x:c>
      <x:c r="B6" s="30" t="str">
        <x:v>PT-003</x:v>
      </x:c>
      <x:c r="C6" s="30" t="str">
        <x:v>MARCA LUNA — Editorial Photographer Portfolio</x:v>
      </x:c>
      <x:c r="D6" s="30" t="str">
        <x:v>Featured case study</x:v>
      </x:c>
      <x:c r="E6" s="30" t="str">
        <x:v>A photographer portfolio that behaves like a gallery</x:v>
      </x:c>
      <x:c r="F6" s="30" t="str">
        <x:v>Interaction design + editorial art direction + headless CMS</x:v>
      </x:c>
      <x:c r="G6" s="30" t="str">
        <x:v>A cinematic, performance-aware portfolio concept that gives photography atmosphere instead of treating it as a flat gallery.</x:v>
      </x:c>
      <x:c r="H6" s="30" t="str">
        <x:v>Creative portfolios can feel generic, slow, and visually detached from the quality of the work they present.</x:v>
      </x:c>
      <x:c r="I6" s="30" t="str">
        <x:v>Designed and built an editorial portfolio with perspective transitions, motion, and a content system.</x:v>
      </x:c>
      <x:c r="J6" s="30" t="str">
        <x:v>3D perspective transitions; cinematic scroll interaction; Sanity CMS; responsive performance; brutalist editorial direction.</x:v>
      </x:c>
      <x:c r="K6" s="30" t="str">
        <x:v>Public case study documents features and build approach; add a short motion recording and performance evidence.</x:v>
      </x:c>
      <x:c r="L6" s="30" t="str">
        <x:v>1 full-page hero / 1 scroll sequence video / 3 work gallery frames / CMS editor / responsive comparison.</x:v>
      </x:c>
      <x:c r="M6" s="30" t="str">
        <x:v>Screen recording; Lighthouse/performance or build note; source files; final narrative.</x:v>
      </x:c>
      <x:c r="N6" s="30" t="str">
        <x:v>https://marc-luna-portfolio-pi.vercel.app | https://github.com/jkidune/marc-luna-portfolio</x:v>
      </x:c>
      <x:c r="O6" s="36" t="str">
        <x:v>Build assets</x:v>
      </x:c>
    </x:row>
    <x:row r="7">
      <x:c r="A7" s="35" t="n">
        <x:v>3</x:v>
      </x:c>
      <x:c r="B7" s="30" t="str">
        <x:v>PT-005</x:v>
      </x:c>
      <x:c r="C7" s="30" t="str">
        <x:v>MedicoCare — Framer Website Development</x:v>
      </x:c>
      <x:c r="D7" s="30" t="str">
        <x:v>Featured case study</x:v>
      </x:c>
      <x:c r="E7" s="30" t="str">
        <x:v>From healthcare research to a more reassuring appointment journey</x:v>
      </x:c>
      <x:c r="F7" s="30" t="str">
        <x:v>Research-led UI/UX + Framer build + responsive healthcare experience</x:v>
      </x:c>
      <x:c r="G7" s="30" t="str">
        <x:v>A healthcare website built to make service information, navigation, and appointment action feel clear and reliable across devices.</x:v>
      </x:c>
      <x:c r="H7" s="30" t="str">
        <x:v>People need quick access to health information and a simple path to booking—without getting lost in a dense or outdated interface.</x:v>
      </x:c>
      <x:c r="I7" s="30" t="str">
        <x:v>Led research, wireframing, high-fidelity design, and Framer development.</x:v>
      </x:c>
      <x:c r="J7" s="30" t="str">
        <x:v>Competitor analysis; stakeholder inputs; wireframes; clean high-fidelity UI; responsive interactions; appointment path.</x:v>
      </x:c>
      <x:c r="K7" s="30" t="str">
        <x:v>Public case study says the site launched with positive usability feedback; add a quoted response and engagement evidence.</x:v>
      </x:c>
      <x:c r="L7" s="30" t="str">
        <x:v>Problem / wireframe / final desktop / final mobile / appointment flow / result or testimonial.</x:v>
      </x:c>
      <x:c r="M7" s="30" t="str">
        <x:v>Wireframes; testimonial; analytics or user feedback; confirmation of client name and permission.</x:v>
      </x:c>
      <x:c r="N7" s="30" t="str">
        <x:v>https://medicocare.framer.website</x:v>
      </x:c>
      <x:c r="O7" s="36" t="str">
        <x:v>Build assets</x:v>
      </x:c>
    </x:row>
    <x:row r="8">
      <x:c r="A8" s="35" t="n">
        <x:v>4</x:v>
      </x:c>
      <x:c r="B8" s="30" t="str">
        <x:v>PT-008</x:v>
      </x:c>
      <x:c r="C8" s="30" t="str">
        <x:v>EarthHarvest Alliance — Climate Action UX Concept</x:v>
      </x:c>
      <x:c r="D8" s="30" t="str">
        <x:v>Featured case study</x:v>
      </x:c>
      <x:c r="E8" s="30" t="str">
        <x:v>Turning nonprofit impact into a clearer path to action</x:v>
      </x:c>
      <x:c r="F8" s="30" t="str">
        <x:v>Research-driven nonprofit UX + visual storytelling + impact dashboard</x:v>
      </x:c>
      <x:c r="G8" s="30" t="str">
        <x:v>A high-fidelity concept that reframes climate and agriculture work around human stories, clear impact signals, and action-oriented paths.</x:v>
      </x:c>
      <x:c r="H8" s="30" t="str">
        <x:v>The original digital presence was described as fragmented, text-heavy, and weak at communicating impact to donors, partners, and communities.</x:v>
      </x:c>
      <x:c r="I8" s="30" t="str">
        <x:v>Researched audiences and comparable nonprofits, defined a visual language, and designed key landing-page and impact modules.</x:v>
      </x:c>
      <x:c r="J8" s="30" t="str">
        <x:v>Personas; dual donor/partner CTAs; real-farmer imagery direction; visual system; project modules; impact dashboard.</x:v>
      </x:c>
      <x:c r="K8" s="30" t="str">
        <x:v>Prototype/concept only—use a transparent ‘next step’ note rather than claiming a live result.</x:v>
      </x:c>
      <x:c r="L8" s="30" t="str">
        <x:v>Brief / persona grid / visual system / hero / impact dashboard / responsive key modules.</x:v>
      </x:c>
      <x:c r="M8" s="30" t="str">
        <x:v>Figma prototype link; usability testing plan; prototype recording; final scope statement.</x:v>
      </x:c>
      <x:c r="N8" s="30" t="str">
        <x:v>https://contra.com/p/3qrU6OBk-earth-harvest-alliance-ui-ux-website-design</x:v>
      </x:c>
      <x:c r="O8" s="36" t="str">
        <x:v>Build assets</x:v>
      </x:c>
    </x:row>
    <x:row r="9">
      <x:c r="A9" s="35" t="n">
        <x:v>5</x:v>
      </x:c>
      <x:c r="B9" s="30" t="str">
        <x:v>PT-015</x:v>
      </x:c>
      <x:c r="C9" s="30" t="str">
        <x:v>Checkpoint Dashboard — Investment Club Financial Web App</x:v>
      </x:c>
      <x:c r="D9" s="30" t="str">
        <x:v>Featured case study</x:v>
      </x:c>
      <x:c r="E9" s="30" t="str">
        <x:v>Giving an investment club a clearer financial operating system</x:v>
      </x:c>
      <x:c r="F9" s="30" t="str">
        <x:v>Product thinking + full-stack structure + dashboard UX</x:v>
      </x:c>
      <x:c r="G9" s="30" t="str">
        <x:v>A financial-management web app concept built around the operational needs of an investment club, with clear technical structure behind the interface.</x:v>
      </x:c>
      <x:c r="H9" s="30" t="str">
        <x:v>Financial processes become difficult when data, member needs, and reporting live across disconnected tools.</x:v>
      </x:c>
      <x:c r="I9" s="30" t="str">
        <x:v>Built or contributed to a dashboard with API, backend, frontend, Google Apps Script, PRD, and deployment configuration.</x:v>
      </x:c>
      <x:c r="J9" s="30" t="str">
        <x:v>Product requirements; dashboard states; data flow; frontend/backend separation; demo-safe workflow.</x:v>
      </x:c>
      <x:c r="K9" s="30" t="str">
        <x:v>Repository validates the product structure; only publish private-safe or demo data and add user feedback before making outcome claims.</x:v>
      </x:c>
      <x:c r="L9" s="30" t="str">
        <x:v>Product problem / user flow / dashboard / data architecture / demo scenario / technical stack.</x:v>
      </x:c>
      <x:c r="M9" s="30" t="str">
        <x:v>Privacy-safe demo dataset; screenshot/video; exact role; tester feedback; deployed link.</x:v>
      </x:c>
      <x:c r="N9" s="30" t="str">
        <x:v>https://github.com/jkidune/checkpoint-dashboard</x:v>
      </x:c>
      <x:c r="O9" s="36" t="str">
        <x:v>Build assets</x:v>
      </x:c>
    </x:row>
    <x:row r="10">
      <x:c r="A10" s="35" t="n">
        <x:v>6</x:v>
      </x:c>
      <x:c r="B10" s="30" t="str">
        <x:v>PT-002</x:v>
      </x:c>
      <x:c r="C10" s="30" t="str">
        <x:v>Barons Digital — Agency Website</x:v>
      </x:c>
      <x:c r="D10" s="30" t="str">
        <x:v>Featured case study</x:v>
      </x:c>
      <x:c r="E10" s="30" t="str">
        <x:v>Building an agency site that sells clarity, capability, and proof</x:v>
      </x:c>
      <x:c r="F10" s="30" t="str">
        <x:v>Brand positioning + portfolio system + CMS-ready agency experience</x:v>
      </x:c>
      <x:c r="G10" s="30" t="str">
        <x:v>An agency website should quickly explain the work, signal taste, and give prospective clients a confident next step.</x:v>
      </x:c>
      <x:c r="H10" s="30" t="str">
        <x:v>Creative agencies often over-emphasise visuals and under-explain value, process, and relevant proof.</x:v>
      </x:c>
      <x:c r="I10" s="30" t="str">
        <x:v>Created a portfolio and agency experience organised around services, work, and scalable content.</x:v>
      </x:c>
      <x:c r="J10" s="30" t="str">
        <x:v>Editorial project layouts; strategic service grouping; project proof; CMS-friendly build structure.</x:v>
      </x:c>
      <x:c r="K10" s="30" t="str">
        <x:v>Repository proves a modern build; add inquiry conversion, CMS model, and internal content workflow evidence.</x:v>
      </x:c>
      <x:c r="L10" s="30" t="str">
        <x:v>Hero / work grid / service architecture / CMS content model / contact path / mobile screens.</x:v>
      </x:c>
      <x:c r="M10" s="30" t="str">
        <x:v>Live launch confirmation; before/after; lead or enquiry evidence; scope confirmation.</x:v>
      </x:c>
      <x:c r="N10" s="30" t="str">
        <x:v>https://github.com/jkidune/barons-digital</x:v>
      </x:c>
      <x:c r="O10" s="36" t="str">
        <x:v>Build assets</x:v>
      </x:c>
    </x:row>
    <x:row r="11">
      <x:c r="A11" s="35" t="n">
        <x:v>7</x:v>
      </x:c>
      <x:c r="B11" s="30" t="str">
        <x:v>PT-009</x:v>
      </x:c>
      <x:c r="C11" s="30" t="str">
        <x:v>Present Day Farms — Brand Identity</x:v>
      </x:c>
      <x:c r="D11" s="30" t="str">
        <x:v>Work grid</x:v>
      </x:c>
      <x:c r="E11" s="30" t="str">
        <x:v>A brand identity for a purpose-led agriculture nonprofit</x:v>
      </x:c>
      <x:c r="F11" s="30" t="str">
        <x:v>Brand strategy + visual identity + mission clarity</x:v>
      </x:c>
      <x:c r="G11" s="30" t="str">
        <x:v>A compact brand system designed to help a nonprofit agriculture organisation appear coherent, memorable, and ready for public-facing communication.</x:v>
      </x:c>
      <x:c r="H11" s="30" t="str">
        <x:v>Purpose-led organisations need visual consistency to build confidence with communities, donors, and partners.</x:v>
      </x:c>
      <x:c r="I11" s="30" t="str">
        <x:v>Developed the identity assets and brand presentation; add the exact discovery and application details from your files.</x:v>
      </x:c>
      <x:c r="J11" s="30" t="str">
        <x:v>Logo construction; type/colour choices; brand applications; audience fit.</x:v>
      </x:c>
      <x:c r="K11" s="30" t="str">
        <x:v>Published as a brand identity project; no detailed public strategy or outcome evidence currently available.</x:v>
      </x:c>
      <x:c r="L11" s="30" t="str">
        <x:v>Logo rationale / colour and type / 3 applications / poster or social asset / in-use visual.</x:v>
      </x:c>
      <x:c r="M11" s="30" t="str">
        <x:v>Original brief; client approval; presentation PDF; before/after; testimonial.</x:v>
      </x:c>
      <x:c r="N11" s="30" t="str">
        <x:v>https://contra.com/p/LWLE2lmA-present-day-farms-brand-identity</x:v>
      </x:c>
      <x:c r="O11" s="36" t="str">
        <x:v>Build assets</x:v>
      </x:c>
    </x:row>
    <x:row r="12">
      <x:c r="A12" s="37" t="n">
        <x:v>8</x:v>
      </x:c>
      <x:c r="B12" s="38" t="str">
        <x:v>PT-024</x:v>
      </x:c>
      <x:c r="C12" s="38" t="str">
        <x:v>Vimeo — Director of Photography / Visual Stories</x:v>
      </x:c>
      <x:c r="D12" s="38" t="str">
        <x:v>Video reel</x:v>
      </x:c>
      <x:c r="E12" s="38" t="str">
        <x:v>Visual stories that give impact work a human pulse</x:v>
      </x:c>
      <x:c r="F12" s="38" t="str">
        <x:v>Directing photography + documentary/event storytelling + motion proof</x:v>
      </x:c>
      <x:c r="G12" s="38" t="str">
        <x:v>A curated video selection that shows how you translate people, places, and mission-driven work into moving stories.</x:v>
      </x:c>
      <x:c r="H12" s="38" t="str">
        <x:v>Your current site should prove visual storytelling without forcing recruiters to browse a long, uncurated video profile.</x:v>
      </x:c>
      <x:c r="I12" s="38" t="str">
        <x:v>Select, title, and contextualise your strongest three videos; produce a concise reel for the portfolio homepage or About page.</x:v>
      </x:c>
      <x:c r="J12" s="38" t="str">
        <x:v>One 45–60 second reel; selected embedded films; role, client, objective, and outcome for each.</x:v>
      </x:c>
      <x:c r="K12" s="38" t="str">
        <x:v>Vimeo confirms the DP designation; individual video details need manual validation.</x:v>
      </x:c>
      <x:c r="L12" s="38" t="str">
        <x:v>1 reel / 3 featured video cards / stills / role credits / client or project context.</x:v>
      </x:c>
      <x:c r="M12" s="38" t="str">
        <x:v>Video titles; embed URLs; thumbnails; role; permission; results/usage evidence.</x:v>
      </x:c>
      <x:c r="N12" s="38" t="str">
        <x:v>https://vimeo.com/user68688471?fl=pp&amp;fe=sh</x:v>
      </x:c>
      <x:c r="O12" s="39" t="str">
        <x:v>Manual review</x:v>
      </x:c>
    </x:row>
  </x:sheetData>
  <x:mergeCells>
    <x:mergeCell ref="A1:O1"/>
    <x:mergeCell ref="A2:O2"/>
  </x:mergeCells>
  <x:conditionalFormatting sqref="O5:O12">
    <x:cfRule type="expression" dxfId="0" priority="1">
      <x:formula>O5="Build assets"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1972bef38f3440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31" hidden="0" customWidth="1"/>
    <x:col min="4" max="4" width="15" hidden="0" customWidth="1"/>
    <x:col min="5" max="5" width="30" hidden="0" customWidth="1"/>
    <x:col min="6" max="6" width="31" hidden="0" customWidth="1"/>
    <x:col min="7" max="7" width="25" hidden="0" customWidth="1"/>
    <x:col min="8" max="8" width="28" hidden="0" customWidth="1"/>
    <x:col min="9" max="9" width="28" hidden="0" customWidth="1"/>
    <x:col min="10" max="10" width="15" hidden="0" customWidth="1"/>
    <x:col min="11" max="11" width="37" hidden="0" customWidth="1"/>
  </x:cols>
  <x:sheetData>
    <x:row r="1">
      <x:c r="A1" s="5" t="str">
        <x:v>Asset &amp; Evidence Checklist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>
      <x:c r="A2" s="13" t="str">
        <x:v>Build a clean asset folder for each featured project. Collect evidence before you design: outcomes, permissions, and process notes make the portfolio credible.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</x:row>
    <x:row r="4" ht="34" customHeight="1">
      <x:c r="A4" s="22" t="str">
        <x:v>Asset ID</x:v>
      </x:c>
      <x:c r="B4" s="22" t="str">
        <x:v>Project ID</x:v>
      </x:c>
      <x:c r="C4" s="22" t="str">
        <x:v>Project</x:v>
      </x:c>
      <x:c r="D4" s="22" t="str">
        <x:v>Asset Group</x:v>
      </x:c>
      <x:c r="E4" s="22" t="str">
        <x:v>Required Asset</x:v>
      </x:c>
      <x:c r="F4" s="22" t="str">
        <x:v>Why It Matters</x:v>
      </x:c>
      <x:c r="G4" s="22" t="str">
        <x:v>Recommended Format / Size</x:v>
      </x:c>
      <x:c r="H4" s="22" t="str">
        <x:v>Suggested File Name</x:v>
      </x:c>
      <x:c r="I4" s="22" t="str">
        <x:v>Where to Pull It From</x:v>
      </x:c>
      <x:c r="J4" s="22" t="str">
        <x:v>Status</x:v>
      </x:c>
      <x:c r="K4" s="22" t="str">
        <x:v>Next Action</x:v>
      </x:c>
    </x:row>
    <x:row r="5">
      <x:c r="A5" s="32" t="str">
        <x:v>AST-001</x:v>
      </x:c>
      <x:c r="B5" s="33" t="str">
        <x:v>PT-001</x:v>
      </x:c>
      <x:c r="C5" s="33" t="str">
        <x:v>AfrONet — African Organic Network</x:v>
      </x:c>
      <x:c r="D5" s="33" t="str">
        <x:v>Cover</x:v>
      </x:c>
      <x:c r="E5" s="33" t="str">
        <x:v>Hero / homepage project cover</x:v>
      </x:c>
      <x:c r="F5" s="33" t="str">
        <x:v>Give the work immediate visual authority</x:v>
      </x:c>
      <x:c r="G5" s="33" t="str">
        <x:v>1600×1000 px PNG or WebP</x:v>
      </x:c>
      <x:c r="H5" s="33" t="str">
        <x:v>PT-001_01_Afronet_Hero.webp</x:v>
      </x:c>
      <x:c r="I5" s="33" t="str">
        <x:v>Live site / Figma / final screenshots</x:v>
      </x:c>
      <x:c r="J5" s="33" t="str">
        <x:v>Need</x:v>
      </x:c>
      <x:c r="K5" s="34" t="str">
        <x:v>Capture a clean desktop frame without browser chrome.</x:v>
      </x:c>
    </x:row>
    <x:row r="6">
      <x:c r="A6" s="35" t="str">
        <x:v>AST-002</x:v>
      </x:c>
      <x:c r="B6" s="30" t="str">
        <x:v>PT-001</x:v>
      </x:c>
      <x:c r="C6" s="30" t="str">
        <x:v>AfrONet — African Organic Network</x:v>
      </x:c>
      <x:c r="D6" s="30" t="str">
        <x:v>Proof</x:v>
      </x:c>
      <x:c r="E6" s="30" t="str">
        <x:v>CMS / publishing proof</x:v>
      </x:c>
      <x:c r="F6" s="30" t="str">
        <x:v>Demonstrate that the site is operational, not only visual</x:v>
      </x:c>
      <x:c r="G6" s="30" t="str">
        <x:v>1440×1000 px PNG</x:v>
      </x:c>
      <x:c r="H6" s="30" t="str">
        <x:v>PT-001_02_Afronet_CMS.png</x:v>
      </x:c>
      <x:c r="I6" s="30" t="str">
        <x:v>CMS editor / content workflow</x:v>
      </x:c>
      <x:c r="J6" s="30" t="str">
        <x:v>Need</x:v>
      </x:c>
      <x:c r="K6" s="36" t="str">
        <x:v>Use non-sensitive content and blur private details.</x:v>
      </x:c>
    </x:row>
    <x:row r="7">
      <x:c r="A7" s="35" t="str">
        <x:v>AST-003</x:v>
      </x:c>
      <x:c r="B7" s="30" t="str">
        <x:v>PT-001</x:v>
      </x:c>
      <x:c r="C7" s="30" t="str">
        <x:v>AfrONet — African Organic Network</x:v>
      </x:c>
      <x:c r="D7" s="30" t="str">
        <x:v>Outcome</x:v>
      </x:c>
      <x:c r="E7" s="30" t="str">
        <x:v>Impact / result card</x:v>
      </x:c>
      <x:c r="F7" s="30" t="str">
        <x:v>Show why the work mattered</x:v>
      </x:c>
      <x:c r="G7" s="30" t="str">
        <x:v>1200×800 px PNG or quote graphic</x:v>
      </x:c>
      <x:c r="H7" s="30" t="str">
        <x:v>PT-001_03_Afronet_Impact.png</x:v>
      </x:c>
      <x:c r="I7" s="30" t="str">
        <x:v>Analytics / client quote / publication cadence</x:v>
      </x:c>
      <x:c r="J7" s="30" t="str">
        <x:v>Need</x:v>
      </x:c>
      <x:c r="K7" s="36" t="str">
        <x:v>Add only verifiable numbers or attributed testimonial.</x:v>
      </x:c>
    </x:row>
    <x:row r="8">
      <x:c r="A8" s="35" t="str">
        <x:v>AST-004</x:v>
      </x:c>
      <x:c r="B8" s="30" t="str">
        <x:v>PT-001</x:v>
      </x:c>
      <x:c r="C8" s="30" t="str">
        <x:v>AfrONet — African Organic Network</x:v>
      </x:c>
      <x:c r="D8" s="30" t="str">
        <x:v>Responsive</x:v>
      </x:c>
      <x:c r="E8" s="30" t="str">
        <x:v>Mobile frames</x:v>
      </x:c>
      <x:c r="F8" s="30" t="str">
        <x:v>Prove responsive quality</x:v>
      </x:c>
      <x:c r="G8" s="30" t="str">
        <x:v>3 × 390×844 px PNGs</x:v>
      </x:c>
      <x:c r="H8" s="30" t="str">
        <x:v>PT-001_04-06_Afronet_Mobile.png</x:v>
      </x:c>
      <x:c r="I8" s="30" t="str">
        <x:v>Live site / Figma</x:v>
      </x:c>
      <x:c r="J8" s="30" t="str">
        <x:v>Need</x:v>
      </x:c>
      <x:c r="K8" s="36" t="str">
        <x:v>Choose home, programme, and news/detail pages.</x:v>
      </x:c>
    </x:row>
    <x:row r="9">
      <x:c r="A9" s="35" t="str">
        <x:v>AST-005</x:v>
      </x:c>
      <x:c r="B9" s="30" t="str">
        <x:v>PT-003</x:v>
      </x:c>
      <x:c r="C9" s="30" t="str">
        <x:v>MARCA LUNA — Editorial Photographer Portfolio</x:v>
      </x:c>
      <x:c r="D9" s="30" t="str">
        <x:v>Cover</x:v>
      </x:c>
      <x:c r="E9" s="30" t="str">
        <x:v>Cinematic project cover</x:v>
      </x:c>
      <x:c r="F9" s="30" t="str">
        <x:v>Make the interaction concept visible on the work grid</x:v>
      </x:c>
      <x:c r="G9" s="30" t="str">
        <x:v>1600×1000 px WebP</x:v>
      </x:c>
      <x:c r="H9" s="30" t="str">
        <x:v>PT-003_01_MarcaLuna_Cover.webp</x:v>
      </x:c>
      <x:c r="I9" s="30" t="str">
        <x:v>Live site / existing media</x:v>
      </x:c>
      <x:c r="J9" s="30" t="str">
        <x:v>Need</x:v>
      </x:c>
      <x:c r="K9" s="36" t="str">
        <x:v>Use a frame with depth and typography but still legible at card size.</x:v>
      </x:c>
    </x:row>
    <x:row r="10">
      <x:c r="A10" s="35" t="str">
        <x:v>AST-006</x:v>
      </x:c>
      <x:c r="B10" s="30" t="str">
        <x:v>PT-003</x:v>
      </x:c>
      <x:c r="C10" s="30" t="str">
        <x:v>MARCA LUNA — Editorial Photographer Portfolio</x:v>
      </x:c>
      <x:c r="D10" s="30" t="str">
        <x:v>Motion</x:v>
      </x:c>
      <x:c r="E10" s="30" t="str">
        <x:v>Scroll interaction recording</x:v>
      </x:c>
      <x:c r="F10" s="30" t="str">
        <x:v>Prove the perspective transition and editorial feel</x:v>
      </x:c>
      <x:c r="G10" s="30" t="str">
        <x:v>15–30 sec MP4 / GIF</x:v>
      </x:c>
      <x:c r="H10" s="30" t="str">
        <x:v>PT-003_02_MarcaLuna_Interaction.mp4</x:v>
      </x:c>
      <x:c r="I10" s="30" t="str">
        <x:v>Screen recording</x:v>
      </x:c>
      <x:c r="J10" s="30" t="str">
        <x:v>Need</x:v>
      </x:c>
      <x:c r="K10" s="36" t="str">
        <x:v>Record desktop and crop a 6–10 sec loop for the grid.</x:v>
      </x:c>
    </x:row>
    <x:row r="11">
      <x:c r="A11" s="35" t="str">
        <x:v>AST-007</x:v>
      </x:c>
      <x:c r="B11" s="30" t="str">
        <x:v>PT-003</x:v>
      </x:c>
      <x:c r="C11" s="30" t="str">
        <x:v>MARCA LUNA — Editorial Photographer Portfolio</x:v>
      </x:c>
      <x:c r="D11" s="30" t="str">
        <x:v>System</x:v>
      </x:c>
      <x:c r="E11" s="30" t="str">
        <x:v>CMS / content model screen</x:v>
      </x:c>
      <x:c r="F11" s="30" t="str">
        <x:v>Show scalable portfolio content</x:v>
      </x:c>
      <x:c r="G11" s="30" t="str">
        <x:v>1440×1000 px PNG</x:v>
      </x:c>
      <x:c r="H11" s="30" t="str">
        <x:v>PT-003_03_MarcaLuna_CMS.png</x:v>
      </x:c>
      <x:c r="I11" s="30" t="str">
        <x:v>Sanity studio</x:v>
      </x:c>
      <x:c r="J11" s="30" t="str">
        <x:v>Need</x:v>
      </x:c>
      <x:c r="K11" s="36" t="str">
        <x:v>Show the work schema and one item entry.</x:v>
      </x:c>
    </x:row>
    <x:row r="12">
      <x:c r="A12" s="35" t="str">
        <x:v>AST-008</x:v>
      </x:c>
      <x:c r="B12" s="30" t="str">
        <x:v>PT-003</x:v>
      </x:c>
      <x:c r="C12" s="30" t="str">
        <x:v>MARCA LUNA — Editorial Photographer Portfolio</x:v>
      </x:c>
      <x:c r="D12" s="30" t="str">
        <x:v>Proof</x:v>
      </x:c>
      <x:c r="E12" s="30" t="str">
        <x:v>Performance/build note</x:v>
      </x:c>
      <x:c r="F12" s="30" t="str">
        <x:v>Show deliberate implementation choices</x:v>
      </x:c>
      <x:c r="G12" s="30" t="str">
        <x:v>1 compact diagram / metric card</x:v>
      </x:c>
      <x:c r="H12" s="30" t="str">
        <x:v>PT-003_04_MarcaLuna_Build.png</x:v>
      </x:c>
      <x:c r="I12" s="30" t="str">
        <x:v>Repo / audit / notes</x:v>
      </x:c>
      <x:c r="J12" s="30" t="str">
        <x:v>Need</x:v>
      </x:c>
      <x:c r="K12" s="36" t="str">
        <x:v>Mention only testable performance details.</x:v>
      </x:c>
    </x:row>
    <x:row r="13">
      <x:c r="A13" s="35" t="str">
        <x:v>AST-009</x:v>
      </x:c>
      <x:c r="B13" s="30" t="str">
        <x:v>PT-005</x:v>
      </x:c>
      <x:c r="C13" s="30" t="str">
        <x:v>MedicoCare — Framer Website Development</x:v>
      </x:c>
      <x:c r="D13" s="30" t="str">
        <x:v>Context</x:v>
      </x:c>
      <x:c r="E13" s="30" t="str">
        <x:v>Problem / user need card</x:v>
      </x:c>
      <x:c r="F13" s="30" t="str">
        <x:v>Frame why the experience matters</x:v>
      </x:c>
      <x:c r="G13" s="30" t="str">
        <x:v>1200×800 px PNG</x:v>
      </x:c>
      <x:c r="H13" s="30" t="str">
        <x:v>PT-005_01_MedicoCare_Context.png</x:v>
      </x:c>
      <x:c r="I13" s="30" t="str">
        <x:v>Project notes</x:v>
      </x:c>
      <x:c r="J13" s="30" t="str">
        <x:v>Need</x:v>
      </x:c>
      <x:c r="K13" s="36" t="str">
        <x:v>Use 3 user needs: learn, navigate, book.</x:v>
      </x:c>
    </x:row>
    <x:row r="14">
      <x:c r="A14" s="35" t="str">
        <x:v>AST-010</x:v>
      </x:c>
      <x:c r="B14" s="30" t="str">
        <x:v>PT-005</x:v>
      </x:c>
      <x:c r="C14" s="30" t="str">
        <x:v>MedicoCare — Framer Website Development</x:v>
      </x:c>
      <x:c r="D14" s="30" t="str">
        <x:v>Process</x:v>
      </x:c>
      <x:c r="E14" s="30" t="str">
        <x:v>Wireframe to final comparison</x:v>
      </x:c>
      <x:c r="F14" s="30" t="str">
        <x:v>Show design reasoning rather than only final screens</x:v>
      </x:c>
      <x:c r="G14" s="30" t="str">
        <x:v>1600×1000 px PNG</x:v>
      </x:c>
      <x:c r="H14" s="30" t="str">
        <x:v>PT-005_02_MedicoCare_WireframeToFinal.png</x:v>
      </x:c>
      <x:c r="I14" s="30" t="str">
        <x:v>Figma</x:v>
      </x:c>
      <x:c r="J14" s="30" t="str">
        <x:v>Need</x:v>
      </x:c>
      <x:c r="K14" s="36" t="str">
        <x:v>Include labels and a one-line decision summary.</x:v>
      </x:c>
    </x:row>
    <x:row r="15">
      <x:c r="A15" s="35" t="str">
        <x:v>AST-011</x:v>
      </x:c>
      <x:c r="B15" s="30" t="str">
        <x:v>PT-005</x:v>
      </x:c>
      <x:c r="C15" s="30" t="str">
        <x:v>MedicoCare — Framer Website Development</x:v>
      </x:c>
      <x:c r="D15" s="30" t="str">
        <x:v>Flow</x:v>
      </x:c>
      <x:c r="E15" s="30" t="str">
        <x:v>Appointment journey</x:v>
      </x:c>
      <x:c r="F15" s="30" t="str">
        <x:v>Make the task flow easy to understand</x:v>
      </x:c>
      <x:c r="G15" s="30" t="str">
        <x:v>1600×1000 px PNG</x:v>
      </x:c>
      <x:c r="H15" s="30" t="str">
        <x:v>PT-005_03_MedicoCare_AppointmentFlow.png</x:v>
      </x:c>
      <x:c r="I15" s="30" t="str">
        <x:v>Figma / live site</x:v>
      </x:c>
      <x:c r="J15" s="30" t="str">
        <x:v>Need</x:v>
      </x:c>
      <x:c r="K15" s="36" t="str">
        <x:v>Show three or four steps maximum.</x:v>
      </x:c>
    </x:row>
    <x:row r="16">
      <x:c r="A16" s="35" t="str">
        <x:v>AST-012</x:v>
      </x:c>
      <x:c r="B16" s="30" t="str">
        <x:v>PT-005</x:v>
      </x:c>
      <x:c r="C16" s="30" t="str">
        <x:v>MedicoCare — Framer Website Development</x:v>
      </x:c>
      <x:c r="D16" s="30" t="str">
        <x:v>Outcome</x:v>
      </x:c>
      <x:c r="E16" s="30" t="str">
        <x:v>Client feedback or launch proof</x:v>
      </x:c>
      <x:c r="F16" s="30" t="str">
        <x:v>Turn the page into a case study, not a showcase</x:v>
      </x:c>
      <x:c r="G16" s="30" t="str">
        <x:v>Quote card / analytics card</x:v>
      </x:c>
      <x:c r="H16" s="30" t="str">
        <x:v>PT-005_04_MedicoCare_Proof.png</x:v>
      </x:c>
      <x:c r="I16" s="30" t="str">
        <x:v>Client / analytics</x:v>
      </x:c>
      <x:c r="J16" s="30" t="str">
        <x:v>Need</x:v>
      </x:c>
      <x:c r="K16" s="36" t="str">
        <x:v>Confirm permission before publishing feedback.</x:v>
      </x:c>
    </x:row>
    <x:row r="17">
      <x:c r="A17" s="35" t="str">
        <x:v>AST-013</x:v>
      </x:c>
      <x:c r="B17" s="30" t="str">
        <x:v>PT-008</x:v>
      </x:c>
      <x:c r="C17" s="30" t="str">
        <x:v>EarthHarvest Alliance — Climate Action UX Concept</x:v>
      </x:c>
      <x:c r="D17" s="30" t="str">
        <x:v>Research</x:v>
      </x:c>
      <x:c r="E17" s="30" t="str">
        <x:v>Persona / audience snapshot</x:v>
      </x:c>
      <x:c r="F17" s="30" t="str">
        <x:v>Show research-led decisions</x:v>
      </x:c>
      <x:c r="G17" s="30" t="str">
        <x:v>1600×1000 px PNG</x:v>
      </x:c>
      <x:c r="H17" s="30" t="str">
        <x:v>PT-008_01_EarthHarvest_Personas.png</x:v>
      </x:c>
      <x:c r="I17" s="30" t="str">
        <x:v>Figma / notes</x:v>
      </x:c>
      <x:c r="J17" s="30" t="str">
        <x:v>Need</x:v>
      </x:c>
      <x:c r="K17" s="36" t="str">
        <x:v>Simplify to three audience cards.</x:v>
      </x:c>
    </x:row>
    <x:row r="18">
      <x:c r="A18" s="35" t="str">
        <x:v>AST-014</x:v>
      </x:c>
      <x:c r="B18" s="30" t="str">
        <x:v>PT-008</x:v>
      </x:c>
      <x:c r="C18" s="30" t="str">
        <x:v>EarthHarvest Alliance — Climate Action UX Concept</x:v>
      </x:c>
      <x:c r="D18" s="30" t="str">
        <x:v>System</x:v>
      </x:c>
      <x:c r="E18" s="30" t="str">
        <x:v>Visual language board</x:v>
      </x:c>
      <x:c r="F18" s="30" t="str">
        <x:v>Show deliberate identity choices</x:v>
      </x:c>
      <x:c r="G18" s="30" t="str">
        <x:v>1600×1000 px PNG</x:v>
      </x:c>
      <x:c r="H18" s="30" t="str">
        <x:v>PT-008_02_EarthHarvest_VisualSystem.png</x:v>
      </x:c>
      <x:c r="I18" s="30" t="str">
        <x:v>Figma</x:v>
      </x:c>
      <x:c r="J18" s="30" t="str">
        <x:v>Need</x:v>
      </x:c>
      <x:c r="K18" s="36" t="str">
        <x:v>Combine palette, type, and imagery direction.</x:v>
      </x:c>
    </x:row>
    <x:row r="19">
      <x:c r="A19" s="35" t="str">
        <x:v>AST-015</x:v>
      </x:c>
      <x:c r="B19" s="30" t="str">
        <x:v>PT-008</x:v>
      </x:c>
      <x:c r="C19" s="30" t="str">
        <x:v>EarthHarvest Alliance — Climate Action UX Concept</x:v>
      </x:c>
      <x:c r="D19" s="30" t="str">
        <x:v>Design</x:v>
      </x:c>
      <x:c r="E19" s="30" t="str">
        <x:v>Impact dashboard screen</x:v>
      </x:c>
      <x:c r="F19" s="30" t="str">
        <x:v>Show how data becomes understandable</x:v>
      </x:c>
      <x:c r="G19" s="30" t="str">
        <x:v>1600×1000 px PNG</x:v>
      </x:c>
      <x:c r="H19" s="30" t="str">
        <x:v>PT-008_03_EarthHarvest_ImpactDashboard.png</x:v>
      </x:c>
      <x:c r="I19" s="30" t="str">
        <x:v>Figma</x:v>
      </x:c>
      <x:c r="J19" s="30" t="str">
        <x:v>Need</x:v>
      </x:c>
      <x:c r="K19" s="36" t="str">
        <x:v>Label it clearly as concept / prototype.</x:v>
      </x:c>
    </x:row>
    <x:row r="20">
      <x:c r="A20" s="35" t="str">
        <x:v>AST-016</x:v>
      </x:c>
      <x:c r="B20" s="30" t="str">
        <x:v>PT-008</x:v>
      </x:c>
      <x:c r="C20" s="30" t="str">
        <x:v>EarthHarvest Alliance — Climate Action UX Concept</x:v>
      </x:c>
      <x:c r="D20" s="30" t="str">
        <x:v>Prototype</x:v>
      </x:c>
      <x:c r="E20" s="30" t="str">
        <x:v>Walkthrough video</x:v>
      </x:c>
      <x:c r="F20" s="30" t="str">
        <x:v>Show experience and responsive interaction</x:v>
      </x:c>
      <x:c r="G20" s="30" t="str">
        <x:v>20–30 sec MP4</x:v>
      </x:c>
      <x:c r="H20" s="30" t="str">
        <x:v>PT-008_04_EarthHarvest_Prototype.mp4</x:v>
      </x:c>
      <x:c r="I20" s="30" t="str">
        <x:v>Figma / Framer</x:v>
      </x:c>
      <x:c r="J20" s="30" t="str">
        <x:v>Need</x:v>
      </x:c>
      <x:c r="K20" s="36" t="str">
        <x:v>Narrate the design decision in captions.</x:v>
      </x:c>
    </x:row>
    <x:row r="21">
      <x:c r="A21" s="35" t="str">
        <x:v>AST-017</x:v>
      </x:c>
      <x:c r="B21" s="30" t="str">
        <x:v>PT-015</x:v>
      </x:c>
      <x:c r="C21" s="30" t="str">
        <x:v>Checkpoint Dashboard — Investment Club Financial Web App</x:v>
      </x:c>
      <x:c r="D21" s="30" t="str">
        <x:v>Context</x:v>
      </x:c>
      <x:c r="E21" s="30" t="str">
        <x:v>Product problem and users</x:v>
      </x:c>
      <x:c r="F21" s="30" t="str">
        <x:v>Make the app understandable for non-technical recruiters</x:v>
      </x:c>
      <x:c r="G21" s="30" t="str">
        <x:v>1200×800 px PNG</x:v>
      </x:c>
      <x:c r="H21" s="30" t="str">
        <x:v>PT-015_01_Checkpoint_Context.png</x:v>
      </x:c>
      <x:c r="I21" s="30" t="str">
        <x:v>PRD</x:v>
      </x:c>
      <x:c r="J21" s="30" t="str">
        <x:v>Need</x:v>
      </x:c>
      <x:c r="K21" s="36" t="str">
        <x:v>Use a privacy-safe version of the club workflow.</x:v>
      </x:c>
    </x:row>
    <x:row r="22">
      <x:c r="A22" s="35" t="str">
        <x:v>AST-018</x:v>
      </x:c>
      <x:c r="B22" s="30" t="str">
        <x:v>PT-015</x:v>
      </x:c>
      <x:c r="C22" s="30" t="str">
        <x:v>Checkpoint Dashboard — Investment Club Financial Web App</x:v>
      </x:c>
      <x:c r="D22" s="30" t="str">
        <x:v>Flow</x:v>
      </x:c>
      <x:c r="E22" s="30" t="str">
        <x:v>Member / admin workflow</x:v>
      </x:c>
      <x:c r="F22" s="30" t="str">
        <x:v>Show product logic</x:v>
      </x:c>
      <x:c r="G22" s="30" t="str">
        <x:v>1600×1000 px PNG</x:v>
      </x:c>
      <x:c r="H22" s="30" t="str">
        <x:v>PT-015_02_Checkpoint_UserFlow.png</x:v>
      </x:c>
      <x:c r="I22" s="30" t="str">
        <x:v>PRD / whiteboard</x:v>
      </x:c>
      <x:c r="J22" s="30" t="str">
        <x:v>Need</x:v>
      </x:c>
      <x:c r="K22" s="36" t="str">
        <x:v>Limit to one key journey.</x:v>
      </x:c>
    </x:row>
    <x:row r="23">
      <x:c r="A23" s="35" t="str">
        <x:v>AST-019</x:v>
      </x:c>
      <x:c r="B23" s="30" t="str">
        <x:v>PT-015</x:v>
      </x:c>
      <x:c r="C23" s="30" t="str">
        <x:v>Checkpoint Dashboard — Investment Club Financial Web App</x:v>
      </x:c>
      <x:c r="D23" s="30" t="str">
        <x:v>Design</x:v>
      </x:c>
      <x:c r="E23" s="30" t="str">
        <x:v>Dashboard states</x:v>
      </x:c>
      <x:c r="F23" s="30" t="str">
        <x:v>Demonstrate UI and information hierarchy</x:v>
      </x:c>
      <x:c r="G23" s="30" t="str">
        <x:v>3 desktop frames</x:v>
      </x:c>
      <x:c r="H23" s="30" t="str">
        <x:v>PT-015_03-05_Checkpoint_Dashboard.png</x:v>
      </x:c>
      <x:c r="I23" s="30" t="str">
        <x:v>App / screenshots</x:v>
      </x:c>
      <x:c r="J23" s="30" t="str">
        <x:v>Need</x:v>
      </x:c>
      <x:c r="K23" s="36" t="str">
        <x:v>Use mock/sample financial data only.</x:v>
      </x:c>
    </x:row>
    <x:row r="24">
      <x:c r="A24" s="35" t="str">
        <x:v>AST-020</x:v>
      </x:c>
      <x:c r="B24" s="30" t="str">
        <x:v>PT-015</x:v>
      </x:c>
      <x:c r="C24" s="30" t="str">
        <x:v>Checkpoint Dashboard — Investment Club Financial Web App</x:v>
      </x:c>
      <x:c r="D24" s="30" t="str">
        <x:v>Tech</x:v>
      </x:c>
      <x:c r="E24" s="30" t="str">
        <x:v>Architecture diagram</x:v>
      </x:c>
      <x:c r="F24" s="30" t="str">
        <x:v>Show build depth without overloading readers</x:v>
      </x:c>
      <x:c r="G24" s="30" t="str">
        <x:v>1600×900 px PNG</x:v>
      </x:c>
      <x:c r="H24" s="30" t="str">
        <x:v>PT-015_06_Checkpoint_Architecture.png</x:v>
      </x:c>
      <x:c r="I24" s="30" t="str">
        <x:v>Repo structure</x:v>
      </x:c>
      <x:c r="J24" s="30" t="str">
        <x:v>Need</x:v>
      </x:c>
      <x:c r="K24" s="36" t="str">
        <x:v>API → backend → frontend → apps script; label in plain English.</x:v>
      </x:c>
    </x:row>
    <x:row r="25">
      <x:c r="A25" s="35" t="str">
        <x:v>AST-021</x:v>
      </x:c>
      <x:c r="B25" s="30" t="str">
        <x:v>PT-002</x:v>
      </x:c>
      <x:c r="C25" s="30" t="str">
        <x:v>Barons Digital — Agency Website</x:v>
      </x:c>
      <x:c r="D25" s="30" t="str">
        <x:v>Cover</x:v>
      </x:c>
      <x:c r="E25" s="30" t="str">
        <x:v>Hero and selected work grid</x:v>
      </x:c>
      <x:c r="F25" s="30" t="str">
        <x:v>Show editorial agency positioning</x:v>
      </x:c>
      <x:c r="G25" s="30" t="str">
        <x:v>1600×1000 px WebP</x:v>
      </x:c>
      <x:c r="H25" s="30" t="str">
        <x:v>PT-002_01_Barons_Cover.webp</x:v>
      </x:c>
      <x:c r="I25" s="30" t="str">
        <x:v>Live site / Figma</x:v>
      </x:c>
      <x:c r="J25" s="30" t="str">
        <x:v>Need</x:v>
      </x:c>
      <x:c r="K25" s="36" t="str">
        <x:v>Use a high-contrast frame with recognisable work thumbnails.</x:v>
      </x:c>
    </x:row>
    <x:row r="26">
      <x:c r="A26" s="35" t="str">
        <x:v>AST-022</x:v>
      </x:c>
      <x:c r="B26" s="30" t="str">
        <x:v>PT-002</x:v>
      </x:c>
      <x:c r="C26" s="30" t="str">
        <x:v>Barons Digital — Agency Website</x:v>
      </x:c>
      <x:c r="D26" s="30" t="str">
        <x:v>Structure</x:v>
      </x:c>
      <x:c r="E26" s="30" t="str">
        <x:v>Information architecture / navigation</x:v>
      </x:c>
      <x:c r="F26" s="30" t="str">
        <x:v>Explain how clients find services and proof</x:v>
      </x:c>
      <x:c r="G26" s="30" t="str">
        <x:v>1600×900 px PNG</x:v>
      </x:c>
      <x:c r="H26" s="30" t="str">
        <x:v>PT-002_02_Barons_IA.png</x:v>
      </x:c>
      <x:c r="I26" s="30" t="str">
        <x:v>Figma / sitemap</x:v>
      </x:c>
      <x:c r="J26" s="30" t="str">
        <x:v>Need</x:v>
      </x:c>
      <x:c r="K26" s="36" t="str">
        <x:v>Show navigation, service groupings, work, and contact.</x:v>
      </x:c>
    </x:row>
    <x:row r="27">
      <x:c r="A27" s="35" t="str">
        <x:v>AST-023</x:v>
      </x:c>
      <x:c r="B27" s="30" t="str">
        <x:v>PT-002</x:v>
      </x:c>
      <x:c r="C27" s="30" t="str">
        <x:v>Barons Digital — Agency Website</x:v>
      </x:c>
      <x:c r="D27" s="30" t="str">
        <x:v>CMS</x:v>
      </x:c>
      <x:c r="E27" s="30" t="str">
        <x:v>Content model</x:v>
      </x:c>
      <x:c r="F27" s="30" t="str">
        <x:v>Show scalability for an agency team</x:v>
      </x:c>
      <x:c r="G27" s="30" t="str">
        <x:v>1440×1000 px PNG</x:v>
      </x:c>
      <x:c r="H27" s="30" t="str">
        <x:v>PT-002_03_Barons_CMS.png</x:v>
      </x:c>
      <x:c r="I27" s="30" t="str">
        <x:v>Sanity studio</x:v>
      </x:c>
      <x:c r="J27" s="30" t="str">
        <x:v>Need</x:v>
      </x:c>
      <x:c r="K27" s="36" t="str">
        <x:v>Show a project entry with fields.</x:v>
      </x:c>
    </x:row>
    <x:row r="28">
      <x:c r="A28" s="35" t="str">
        <x:v>AST-024</x:v>
      </x:c>
      <x:c r="B28" s="30" t="str">
        <x:v>PT-002</x:v>
      </x:c>
      <x:c r="C28" s="30" t="str">
        <x:v>Barons Digital — Agency Website</x:v>
      </x:c>
      <x:c r="D28" s="30" t="str">
        <x:v>Outcome</x:v>
      </x:c>
      <x:c r="E28" s="30" t="str">
        <x:v>Enquiry / lead proof</x:v>
      </x:c>
      <x:c r="F28" s="30" t="str">
        <x:v>Make commercial value tangible</x:v>
      </x:c>
      <x:c r="G28" s="30" t="str">
        <x:v>Quote or metric card</x:v>
      </x:c>
      <x:c r="H28" s="30" t="str">
        <x:v>PT-002_04_Barons_Result.png</x:v>
      </x:c>
      <x:c r="I28" s="30" t="str">
        <x:v>Analytics / client team</x:v>
      </x:c>
      <x:c r="J28" s="30" t="str">
        <x:v>Need</x:v>
      </x:c>
      <x:c r="K28" s="36" t="str">
        <x:v>Use only confirmed information.</x:v>
      </x:c>
    </x:row>
    <x:row r="29">
      <x:c r="A29" s="35" t="str">
        <x:v>AST-025</x:v>
      </x:c>
      <x:c r="B29" s="30" t="str">
        <x:v>PT-009</x:v>
      </x:c>
      <x:c r="C29" s="30" t="str">
        <x:v>Present Day Farms — Brand Identity</x:v>
      </x:c>
      <x:c r="D29" s="30" t="str">
        <x:v>Rationale</x:v>
      </x:c>
      <x:c r="E29" s="30" t="str">
        <x:v>Logo construction / meaning</x:v>
      </x:c>
      <x:c r="F29" s="30" t="str">
        <x:v>Explain identity thinking</x:v>
      </x:c>
      <x:c r="G29" s="30" t="str">
        <x:v>1600×1000 px PNG</x:v>
      </x:c>
      <x:c r="H29" s="30" t="str">
        <x:v>PT-009_01_PresentDay_LogoRationale.png</x:v>
      </x:c>
      <x:c r="I29" s="30" t="str">
        <x:v>Brand files</x:v>
      </x:c>
      <x:c r="J29" s="30" t="str">
        <x:v>Need</x:v>
      </x:c>
      <x:c r="K29" s="36" t="str">
        <x:v>Keep text short and visual.</x:v>
      </x:c>
    </x:row>
    <x:row r="30">
      <x:c r="A30" s="35" t="str">
        <x:v>AST-026</x:v>
      </x:c>
      <x:c r="B30" s="30" t="str">
        <x:v>PT-009</x:v>
      </x:c>
      <x:c r="C30" s="30" t="str">
        <x:v>Present Day Farms — Brand Identity</x:v>
      </x:c>
      <x:c r="D30" s="30" t="str">
        <x:v>System</x:v>
      </x:c>
      <x:c r="E30" s="30" t="str">
        <x:v>Type, colour and pattern system</x:v>
      </x:c>
      <x:c r="F30" s="30" t="str">
        <x:v>Show a repeatable identity</x:v>
      </x:c>
      <x:c r="G30" s="30" t="str">
        <x:v>1600×1000 px PNG</x:v>
      </x:c>
      <x:c r="H30" s="30" t="str">
        <x:v>PT-009_02_PresentDay_BrandSystem.png</x:v>
      </x:c>
      <x:c r="I30" s="30" t="str">
        <x:v>Brand guide</x:v>
      </x:c>
      <x:c r="J30" s="30" t="str">
        <x:v>Need</x:v>
      </x:c>
      <x:c r="K30" s="36" t="str">
        <x:v>Use only final approved assets.</x:v>
      </x:c>
    </x:row>
    <x:row r="31">
      <x:c r="A31" s="35" t="str">
        <x:v>AST-027</x:v>
      </x:c>
      <x:c r="B31" s="30" t="str">
        <x:v>PT-009</x:v>
      </x:c>
      <x:c r="C31" s="30" t="str">
        <x:v>Present Day Farms — Brand Identity</x:v>
      </x:c>
      <x:c r="D31" s="30" t="str">
        <x:v>Application</x:v>
      </x:c>
      <x:c r="E31" s="30" t="str">
        <x:v>Real-world applications</x:v>
      </x:c>
      <x:c r="F31" s="30" t="str">
        <x:v>Prove the identity works in use</x:v>
      </x:c>
      <x:c r="G31" s="30" t="str">
        <x:v>3–5 mockups/photos</x:v>
      </x:c>
      <x:c r="H31" s="30" t="str">
        <x:v>PT-009_03-07_PresentDay_Applications.png</x:v>
      </x:c>
      <x:c r="I31" s="30" t="str">
        <x:v>Mockups / photos</x:v>
      </x:c>
      <x:c r="J31" s="30" t="str">
        <x:v>Need</x:v>
      </x:c>
      <x:c r="K31" s="36" t="str">
        <x:v>Prioritise campaign, social, field, or print use.</x:v>
      </x:c>
    </x:row>
    <x:row r="32">
      <x:c r="A32" s="35" t="str">
        <x:v>AST-028</x:v>
      </x:c>
      <x:c r="B32" s="30" t="str">
        <x:v>PT-009</x:v>
      </x:c>
      <x:c r="C32" s="30" t="str">
        <x:v>Present Day Farms — Brand Identity</x:v>
      </x:c>
      <x:c r="D32" s="30" t="str">
        <x:v>Proof</x:v>
      </x:c>
      <x:c r="E32" s="30" t="str">
        <x:v>Client quote or adoption</x:v>
      </x:c>
      <x:c r="F32" s="30" t="str">
        <x:v>Add credibility</x:v>
      </x:c>
      <x:c r="G32" s="30" t="str">
        <x:v>Quote card</x:v>
      </x:c>
      <x:c r="H32" s="30" t="str">
        <x:v>PT-009_08_PresentDay_Quote.png</x:v>
      </x:c>
      <x:c r="I32" s="30" t="str">
        <x:v>Client</x:v>
      </x:c>
      <x:c r="J32" s="30" t="str">
        <x:v>Need</x:v>
      </x:c>
      <x:c r="K32" s="36" t="str">
        <x:v>Confirm permission before publishing.</x:v>
      </x:c>
    </x:row>
    <x:row r="33">
      <x:c r="A33" s="35" t="str">
        <x:v>AST-029</x:v>
      </x:c>
      <x:c r="B33" s="30" t="str">
        <x:v>PT-024</x:v>
      </x:c>
      <x:c r="C33" s="30" t="str">
        <x:v>Vimeo — Director of Photography / Visual Stories</x:v>
      </x:c>
      <x:c r="D33" s="30" t="str">
        <x:v>Reel</x:v>
      </x:c>
      <x:c r="E33" s="30" t="str">
        <x:v>Portfolio reel</x:v>
      </x:c>
      <x:c r="F33" s="30" t="str">
        <x:v>Give movement and emotional proof near the homepage</x:v>
      </x:c>
      <x:c r="G33" s="30" t="str">
        <x:v>45–60 sec MP4</x:v>
      </x:c>
      <x:c r="H33" s="30" t="str">
        <x:v>PT-024_01_Showreel.mp4</x:v>
      </x:c>
      <x:c r="I33" s="30" t="str">
        <x:v>Vimeo project selection</x:v>
      </x:c>
      <x:c r="J33" s="30" t="str">
        <x:v>Need</x:v>
      </x:c>
      <x:c r="K33" s="36" t="str">
        <x:v>Use a calm, confident sequence rather than a fast montage.</x:v>
      </x:c>
    </x:row>
    <x:row r="34">
      <x:c r="A34" s="35" t="str">
        <x:v>AST-030</x:v>
      </x:c>
      <x:c r="B34" s="30" t="str">
        <x:v>PT-024</x:v>
      </x:c>
      <x:c r="C34" s="30" t="str">
        <x:v>Vimeo — Director of Photography / Visual Stories</x:v>
      </x:c>
      <x:c r="D34" s="30" t="str">
        <x:v>Cards</x:v>
      </x:c>
      <x:c r="E34" s="30" t="str">
        <x:v>Three video thumbnails</x:v>
      </x:c>
      <x:c r="F34" s="30" t="str">
        <x:v>Enable focused video selection</x:v>
      </x:c>
      <x:c r="G34" s="30" t="str">
        <x:v>1600×900 px WebP each</x:v>
      </x:c>
      <x:c r="H34" s="30" t="str">
        <x:v>PT-024_02-04_VideoThumbnails.webp</x:v>
      </x:c>
      <x:c r="I34" s="30" t="str">
        <x:v>Vimeo screenshots / originals</x:v>
      </x:c>
      <x:c r="J34" s="30" t="str">
        <x:v>Need</x:v>
      </x:c>
      <x:c r="K34" s="36" t="str">
        <x:v>Add title, client, role, and runtime.</x:v>
      </x:c>
    </x:row>
    <x:row r="35">
      <x:c r="A35" s="35" t="str">
        <x:v>AST-031</x:v>
      </x:c>
      <x:c r="B35" s="30" t="str">
        <x:v>PT-024</x:v>
      </x:c>
      <x:c r="C35" s="30" t="str">
        <x:v>Vimeo — Director of Photography / Visual Stories</x:v>
      </x:c>
      <x:c r="D35" s="30" t="str">
        <x:v>Credits</x:v>
      </x:c>
      <x:c r="E35" s="30" t="str">
        <x:v>Role / project context cards</x:v>
      </x:c>
      <x:c r="F35" s="30" t="str">
        <x:v>Give each video professional context</x:v>
      </x:c>
      <x:c r="G35" s="30" t="str">
        <x:v>1200×800 PNG</x:v>
      </x:c>
      <x:c r="H35" s="30" t="str">
        <x:v>PT-024_05-07_VideoCredits.png</x:v>
      </x:c>
      <x:c r="I35" s="30" t="str">
        <x:v>Project notes</x:v>
      </x:c>
      <x:c r="J35" s="30" t="str">
        <x:v>Need</x:v>
      </x:c>
      <x:c r="K35" s="36" t="str">
        <x:v>State role precisely—DP, editor, producer, etc.</x:v>
      </x:c>
    </x:row>
    <x:row r="36">
      <x:c r="A36" s="37" t="str">
        <x:v>AST-032</x:v>
      </x:c>
      <x:c r="B36" s="38" t="str">
        <x:v>PT-024</x:v>
      </x:c>
      <x:c r="C36" s="38" t="str">
        <x:v>Vimeo — Director of Photography / Visual Stories</x:v>
      </x:c>
      <x:c r="D36" s="38" t="str">
        <x:v>Proof</x:v>
      </x:c>
      <x:c r="E36" s="38" t="str">
        <x:v>Usage / outcome indicators</x:v>
      </x:c>
      <x:c r="F36" s="38" t="str">
        <x:v>Show the video was used effectively</x:v>
      </x:c>
      <x:c r="G36" s="38" t="str">
        <x:v>Quote / campaign result</x:v>
      </x:c>
      <x:c r="H36" s="38" t="str">
        <x:v>PT-024_08_VideoResult.png</x:v>
      </x:c>
      <x:c r="I36" s="38" t="str">
        <x:v>Client / campaign report</x:v>
      </x:c>
      <x:c r="J36" s="38" t="str">
        <x:v>Need</x:v>
      </x:c>
      <x:c r="K36" s="39" t="str">
        <x:v>Use verified views, reach, or stakeholder feedback.</x:v>
      </x:c>
    </x:row>
  </x:sheetData>
  <x:mergeCells>
    <x:mergeCell ref="A1:K1"/>
    <x:mergeCell ref="A2:K2"/>
  </x:mergeCells>
  <x:conditionalFormatting sqref="J5:J36">
    <x:cfRule type="expression" dxfId="1" priority="1">
      <x:formula>J5="Need"</x:formula>
    </x:cfRule>
  </x:conditionalFormatting>
  <x:dataValidations count="1">
    <x:dataValidation type="list" sqref="J5:J36">
      <x:formula1>"Need,Collected,In production,Approved,Not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c8f30c4f598493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24" hidden="0" customWidth="1"/>
    <x:col min="3" max="3" width="45" hidden="0" customWidth="1"/>
    <x:col min="4" max="4" width="36" hidden="0" customWidth="1"/>
    <x:col min="5" max="5" width="32" hidden="0" customWidth="1"/>
    <x:col min="6" max="6" width="34" hidden="0" customWidth="1"/>
    <x:col min="7" max="7" width="18" hidden="0" customWidth="1"/>
    <x:col min="8" max="8" width="38" hidden="0" customWidth="1"/>
  </x:cols>
  <x:sheetData>
    <x:row r="1">
      <x:c r="A1" s="5" t="str">
        <x:v>Recommended Portfolio Website Structure</x:v>
      </x:c>
      <x:c r="B1" s="5"/>
      <x:c r="C1" s="5"/>
      <x:c r="D1" s="5"/>
      <x:c r="E1" s="5"/>
      <x:c r="F1" s="5"/>
      <x:c r="G1" s="5"/>
      <x:c r="H1" s="5"/>
    </x:row>
    <x:row r="2">
      <x:c r="A2" s="13" t="str">
        <x:v>Recommended focus: a digital-experiences portfolio supported by brand systems, visual storytelling, and thoughtful writing. Do not present every project at equal weight.</x:v>
      </x:c>
      <x:c r="B2" s="13"/>
      <x:c r="C2" s="13"/>
      <x:c r="D2" s="13"/>
      <x:c r="E2" s="13"/>
      <x:c r="F2" s="13"/>
      <x:c r="G2" s="13"/>
      <x:c r="H2" s="13"/>
    </x:row>
    <x:row r="4" ht="34" customHeight="1">
      <x:c r="A4" s="22" t="str">
        <x:v>Page / Section</x:v>
      </x:c>
      <x:c r="B4" s="22" t="str">
        <x:v>Purpose</x:v>
      </x:c>
      <x:c r="C4" s="22" t="str">
        <x:v>Primary Content</x:v>
      </x:c>
      <x:c r="D4" s="22" t="str">
        <x:v>Projects / Sources</x:v>
      </x:c>
      <x:c r="E4" s="22" t="str">
        <x:v>Recruiter Signal</x:v>
      </x:c>
      <x:c r="F4" s="22" t="str">
        <x:v>Visual Direction</x:v>
      </x:c>
      <x:c r="G4" s="22" t="str">
        <x:v>Content Status</x:v>
      </x:c>
      <x:c r="H4" s="22" t="str">
        <x:v>Next Action</x:v>
      </x:c>
    </x:row>
    <x:row r="5">
      <x:c r="A5" s="32" t="str">
        <x:v>Homepage hero</x:v>
      </x:c>
      <x:c r="B5" s="33" t="str">
        <x:v>State the positioning in one clear sentence.</x:v>
      </x:c>
      <x:c r="C5" s="33" t="str">
        <x:v>Headline: “Digital experiences and visual systems that turn complex work into clear action.” Supporting line: websites, brand systems, and impact stories.</x:v>
      </x:c>
      <x:c r="D5" s="33" t="str">
        <x:v>Personal positioning; AfrONet; MARCA LUNA</x:v>
      </x:c>
      <x:c r="E5" s="33" t="str">
        <x:v>Strategic range without feeling scattered.</x:v>
      </x:c>
      <x:c r="F5" s="33" t="str">
        <x:v>Strong typographic hero + one edited project still or motion detail.</x:v>
      </x:c>
      <x:c r="G5" s="33" t="str">
        <x:v>Draft ready</x:v>
      </x:c>
      <x:c r="H5" s="34" t="str">
        <x:v>Choose final portrait/abstract visual and tighten headline to your preferred voice.</x:v>
      </x:c>
    </x:row>
    <x:row r="6">
      <x:c r="A6" s="35" t="str">
        <x:v>Featured work</x:v>
      </x:c>
      <x:c r="B6" s="30" t="str">
        <x:v>Create immediate proof in the first scroll.</x:v>
      </x:c>
      <x:c r="C6" s="30" t="str">
        <x:v>Four featured cards: AfrONet, MARCA LUNA, MedicoCare, Checkpoint Dashboard. Include outcome/evidence labels where confirmed.</x:v>
      </x:c>
      <x:c r="D6" s="30" t="str">
        <x:v>PT-001; PT-003; PT-005; PT-015</x:v>
      </x:c>
      <x:c r="E6" s="30" t="str">
        <x:v>Taste, strategy, execution, product range.</x:v>
      </x:c>
      <x:c r="F6" s="30" t="str">
        <x:v>Large editorial cards; mix web UI and motion without clutter.</x:v>
      </x:c>
      <x:c r="G6" s="30" t="str">
        <x:v>Needs assets</x:v>
      </x:c>
      <x:c r="H6" s="36" t="str">
        <x:v>Build covers and 35–55 word card copy from Case Study Briefs.</x:v>
      </x:c>
    </x:row>
    <x:row r="7">
      <x:c r="A7" s="35" t="str">
        <x:v>Work index</x:v>
      </x:c>
      <x:c r="B7" s="30" t="str">
        <x:v>Let recruiters filter the rest quickly.</x:v>
      </x:c>
      <x:c r="C7" s="30" t="str">
        <x:v>Groups: Digital Experiences; Brand Systems; Impact Storytelling; Product Labs; Selected Visual Work.</x:v>
      </x:c>
      <x:c r="D7" s="30" t="str">
        <x:v>Master Portfolio</x:v>
      </x:c>
      <x:c r="E7" s="30" t="str">
        <x:v>Breadth under a clear organising system.</x:v>
      </x:c>
      <x:c r="F7" s="30" t="str">
        <x:v>CMS-driven grid with simple tags; no more than 12–16 visible works at launch.</x:v>
      </x:c>
      <x:c r="G7" s="30" t="str">
        <x:v>Ready after curation</x:v>
      </x:c>
      <x:c r="H7" s="36" t="str">
        <x:v>Hide low-evidence work in Archive / Collections.</x:v>
      </x:c>
    </x:row>
    <x:row r="8">
      <x:c r="A8" s="35" t="str">
        <x:v>Case-study template</x:v>
      </x:c>
      <x:c r="B8" s="30" t="str">
        <x:v>Make every deep project scanable in under three minutes.</x:v>
      </x:c>
      <x:c r="C8" s="30" t="str">
        <x:v>1) context 2) task 3) role 4) key decisions 5) visuals/process 6) proof 7) links.</x:v>
      </x:c>
      <x:c r="D8" s="30" t="str">
        <x:v>Case Study Briefs</x:v>
      </x:c>
      <x:c r="E8" s="30" t="str">
        <x:v>Shows how you think, not only how the work looks.</x:v>
      </x:c>
      <x:c r="F8" s="30" t="str">
        <x:v>Full-bleed hero + alternating evidence blocks + small captions.</x:v>
      </x:c>
      <x:c r="G8" s="30" t="str">
        <x:v>Ready</x:v>
      </x:c>
      <x:c r="H8" s="36" t="str">
        <x:v>Apply same structure to top 5, then expand.</x:v>
      </x:c>
    </x:row>
    <x:row r="9">
      <x:c r="A9" s="35" t="str">
        <x:v>Capabilities</x:v>
      </x:c>
      <x:c r="B9" s="30" t="str">
        <x:v>Tell clients and recruiters what you can be hired for.</x:v>
      </x:c>
      <x:c r="C9" s="30" t="str">
        <x:v>Digital Experience Design; Framer / Web Build; Brand Systems; Impact &amp; Content Storytelling; Visual Direction.</x:v>
      </x:c>
      <x:c r="D9" s="30" t="str">
        <x:v>All sources</x:v>
      </x:c>
      <x:c r="E9" s="30" t="str">
        <x:v>Converts the work into clear services and role fit.</x:v>
      </x:c>
      <x:c r="F9" s="30" t="str">
        <x:v>Large type with one proof project under each capability.</x:v>
      </x:c>
      <x:c r="G9" s="30" t="str">
        <x:v>Draft ready</x:v>
      </x:c>
      <x:c r="H9" s="36" t="str">
        <x:v>Use exact labels that match roles you want to attract.</x:v>
      </x:c>
    </x:row>
    <x:row r="10">
      <x:c r="A10" s="35" t="str">
        <x:v>Process / proof</x:v>
      </x:c>
      <x:c r="B10" s="30" t="str">
        <x:v>Prove that visual outcomes come from a repeatable approach.</x:v>
      </x:c>
      <x:c r="C10" s="30" t="str">
        <x:v>Discover → structure → design → build → learn. Add one short proof or testimonial when verified.</x:v>
      </x:c>
      <x:c r="D10" s="30" t="str">
        <x:v>MedicoCare; EarthHarvest; AfrONet; Checkpoint</x:v>
      </x:c>
      <x:c r="E10" s="30" t="str">
        <x:v>Strategic maturity and credibility.</x:v>
      </x:c>
      <x:c r="F10" s="30" t="str">
        <x:v>Minimal process diagram; avoid generic stock icons.</x:v>
      </x:c>
      <x:c r="G10" s="30" t="str">
        <x:v>Needs proof</x:v>
      </x:c>
      <x:c r="H10" s="36" t="str">
        <x:v>Collect 2 verified quotes, 1 metric, and 1 process artefact.</x:v>
      </x:c>
    </x:row>
    <x:row r="11">
      <x:c r="A11" s="35" t="str">
        <x:v>Visual stories</x:v>
      </x:c>
      <x:c r="B11" s="30" t="str">
        <x:v>Give video a home without diluting the core work.</x:v>
      </x:c>
      <x:c r="C11" s="30" t="str">
        <x:v>One concise reel + three selected video cards with role, client, purpose, and duration.</x:v>
      </x:c>
      <x:c r="D11" s="30" t="str">
        <x:v>Vimeo</x:v>
      </x:c>
      <x:c r="E11" s="30" t="str">
        <x:v>Motion and documentary/event-production capability.</x:v>
      </x:c>
      <x:c r="F11" s="30" t="str">
        <x:v>Dark, cinematic block between work and writing.</x:v>
      </x:c>
      <x:c r="G11" s="30" t="str">
        <x:v>Needs manual review</x:v>
      </x:c>
      <x:c r="H11" s="36" t="str">
        <x:v>Select titles and create reel from Assets &amp; Evidence list.</x:v>
      </x:c>
    </x:row>
    <x:row r="12">
      <x:c r="A12" s="35" t="str">
        <x:v>Ideas / Writing</x:v>
      </x:c>
      <x:c r="B12" s="30" t="str">
        <x:v>Show authority in communications, impact, and AI.</x:v>
      </x:c>
      <x:c r="C12" s="30" t="str">
        <x:v>Three editorial cards: AI workflows; community learning centres; 50 years of IAE. Link out to Medium.</x:v>
      </x:c>
      <x:c r="D12" s="30" t="str">
        <x:v>PT-025; PT-026; PT-027; PT-028</x:v>
      </x:c>
      <x:c r="E12" s="30" t="str">
        <x:v>Can explain, contextualise, and influence—not merely design.</x:v>
      </x:c>
      <x:c r="F12" s="30" t="str">
        <x:v>Quiet magazine-style layout with pull quotes.</x:v>
      </x:c>
      <x:c r="G12" s="30" t="str">
        <x:v>Ready</x:v>
      </x:c>
      <x:c r="H12" s="36" t="str">
        <x:v>Create cover images or visual quote cards; do not overload the homepage.</x:v>
      </x:c>
    </x:row>
    <x:row r="13">
      <x:c r="A13" s="35" t="str">
        <x:v>About</x:v>
      </x:c>
      <x:c r="B13" s="30" t="str">
        <x:v>Connect the practice to a human, credible story.</x:v>
      </x:c>
      <x:c r="C13" s="30" t="str">
        <x:v>Short biography: communications + digital marketing + storytelling + impact/technology. Add selective career context and tools.</x:v>
      </x:c>
      <x:c r="D13" s="30" t="str">
        <x:v>GitHub README; Medium profile; CV</x:v>
      </x:c>
      <x:c r="E13" s="30" t="str">
        <x:v>Makes the multi-disciplinary narrative coherent.</x:v>
      </x:c>
      <x:c r="F13" s="30" t="str">
        <x:v>Portrait or illustrated image; simple timeline; tools as supporting detail.</x:v>
      </x:c>
      <x:c r="G13" s="30" t="str">
        <x:v>Draft ready</x:v>
      </x:c>
      <x:c r="H13" s="36" t="str">
        <x:v>Write in your natural voice; avoid a long career history.</x:v>
      </x:c>
    </x:row>
    <x:row r="14">
      <x:c r="A14" s="37" t="str">
        <x:v>Contact</x:v>
      </x:c>
      <x:c r="B14" s="38" t="str">
        <x:v>Make action easy.</x:v>
      </x:c>
      <x:c r="C14" s="38" t="str">
        <x:v>Primary CTA: “Let’s build a clearer digital story.” Include email, LinkedIn, Contra, and availability.</x:v>
      </x:c>
      <x:c r="D14" s="38" t="str">
        <x:v>Contra; GitHub; existing site</x:v>
      </x:c>
      <x:c r="E14" s="38" t="str">
        <x:v>Signals confidence and availability.</x:v>
      </x:c>
      <x:c r="F14" s="38" t="str">
        <x:v>One decisive CTA with direct contact options.</x:v>
      </x:c>
      <x:c r="G14" s="38" t="str">
        <x:v>Ready</x:v>
      </x:c>
      <x:c r="H14" s="39" t="str">
        <x:v>Confirm the email and preferred contact channel.</x:v>
      </x:c>
    </x:row>
  </x:sheetData>
  <x:mergeCells>
    <x:mergeCell ref="A1:H1"/>
    <x:mergeCell ref="A2:H2"/>
  </x:mergeCells>
  <x:dataValidations count="1">
    <x:dataValidation type="list" sqref="G5:G14">
      <x:formula1>"Draft ready,Needs assets,Ready after curation,Ready,Needs proof,Needs manual review"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26d3dc89e97455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42" hidden="0" customWidth="1"/>
    <x:col min="3" max="3" width="18" hidden="0" customWidth="1"/>
    <x:col min="4" max="4" width="15" hidden="0" customWidth="1"/>
    <x:col min="5" max="5" width="24" hidden="0" customWidth="1"/>
    <x:col min="6" max="6" width="36" hidden="0" customWidth="1"/>
    <x:col min="7" max="7" width="23" hidden="0" customWidth="1"/>
    <x:col min="8" max="8" width="35" hidden="0" customWidth="1"/>
    <x:col min="9" max="9" width="48" hidden="0" customWidth="1"/>
    <x:col min="10" max="10" width="34" hidden="0" customWidth="1"/>
  </x:cols>
  <x:sheetData>
    <x:row r="1">
      <x:c r="A1" s="5" t="str">
        <x:v>Editorial &amp; Video Inventory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>
      <x:c r="A2" s="13" t="str">
        <x:v>Writing should support the portfolio’s strategic point of view. Use only a few items on the homepage, then create a fuller Notes / Writing archive.</x:v>
      </x:c>
      <x:c r="B2" s="13"/>
      <x:c r="C2" s="13"/>
      <x:c r="D2" s="13"/>
      <x:c r="E2" s="13"/>
      <x:c r="F2" s="13"/>
      <x:c r="G2" s="13"/>
      <x:c r="H2" s="13"/>
      <x:c r="I2" s="13"/>
      <x:c r="J2" s="13"/>
    </x:row>
    <x:row r="4" ht="34" customHeight="1">
      <x:c r="A4" s="22" t="str">
        <x:v>Content ID</x:v>
      </x:c>
      <x:c r="B4" s="22" t="str">
        <x:v>Title</x:v>
      </x:c>
      <x:c r="C4" s="22" t="str">
        <x:v>Format</x:v>
      </x:c>
      <x:c r="D4" s="22" t="str">
        <x:v>Published / Status</x:v>
      </x:c>
      <x:c r="E4" s="22" t="str">
        <x:v>Theme</x:v>
      </x:c>
      <x:c r="F4" s="22" t="str">
        <x:v>Why It Helps the Portfolio</x:v>
      </x:c>
      <x:c r="G4" s="22" t="str">
        <x:v>Recommended Website Placement</x:v>
      </x:c>
      <x:c r="H4" s="22" t="str">
        <x:v>Suggested Visual Treatment</x:v>
      </x:c>
      <x:c r="I4" s="22" t="str">
        <x:v>Source URL</x:v>
      </x:c>
      <x:c r="J4" s="22" t="str">
        <x:v>Verification / Next Step</x:v>
      </x:c>
    </x:row>
    <x:row r="5">
      <x:c r="A5" s="32" t="str">
        <x:v>ED-001</x:v>
      </x:c>
      <x:c r="B5" s="33" t="str">
        <x:v>Automating Workflows from Community to Ministries with AI as Drivers</x:v>
      </x:c>
      <x:c r="C5" s="33" t="str">
        <x:v>Medium article</x:v>
      </x:c>
      <x:c r="D5" s="48" t="n">
        <x:v>46058</x:v>
      </x:c>
      <x:c r="E5" s="33" t="str">
        <x:v>AI; digital transformation; systems</x:v>
      </x:c>
      <x:c r="F5" s="33" t="str">
        <x:v>Shows you can translate technology into practical institutional and community implications.</x:v>
      </x:c>
      <x:c r="G5" s="33" t="str">
        <x:v>Ideas / Writing</x:v>
      </x:c>
      <x:c r="H5" s="33" t="str">
        <x:v>Editorial card with pull quote and a calm systems graphic.</x:v>
      </x:c>
      <x:c r="I5" s="33" t="str">
        <x:v>https://medium.com/%40kidunejoseph91/digital-innovation-has-quietly-rewritten-the-rules-of-daily-life-like-how-we-communicate-how-we-2de02920c4f4</x:v>
      </x:c>
      <x:c r="J5" s="34" t="str">
        <x:v>Article URL verified; add read count only if available.</x:v>
      </x:c>
    </x:row>
    <x:row r="6">
      <x:c r="A6" s="35" t="str">
        <x:v>ED-002</x:v>
      </x:c>
      <x:c r="B6" s="30" t="str">
        <x:v>50 Years of the Institute of Adult Education: A Nation’s Promise, Renewed</x:v>
      </x:c>
      <x:c r="C6" s="30" t="str">
        <x:v>Medium article</x:v>
      </x:c>
      <x:c r="D6" s="49" t="n">
        <x:v>45929</x:v>
      </x:c>
      <x:c r="E6" s="30" t="str">
        <x:v>Adult education; institutional storytelling</x:v>
      </x:c>
      <x:c r="F6" s="30" t="str">
        <x:v>Shows public-interest storytelling and contextual communication.</x:v>
      </x:c>
      <x:c r="G6" s="30" t="str">
        <x:v>Ideas / Writing</x:v>
      </x:c>
      <x:c r="H6" s="30" t="str">
        <x:v>Archival/heritage image + one featured quotation.</x:v>
      </x:c>
      <x:c r="I6" s="30" t="str">
        <x:v>https://medium.com/%40kidunejoseph91/50-years-of-the-institute-of-adult-education-a-nations-promise-renewed-22d779aa3f2b</x:v>
      </x:c>
      <x:c r="J6" s="36" t="str">
        <x:v>Article URL verified; add a concise excerpt.</x:v>
      </x:c>
    </x:row>
    <x:row r="7">
      <x:c r="A7" s="35" t="str">
        <x:v>ED-003</x:v>
      </x:c>
      <x:c r="B7" s="30" t="str">
        <x:v>How ChatGPT-4o’s Image Generator Is a Game-Changer for Tanzania’s Creative and Marketing Industries</x:v>
      </x:c>
      <x:c r="C7" s="30" t="str">
        <x:v>Medium article</x:v>
      </x:c>
      <x:c r="D7" s="49" t="n">
        <x:v>45745</x:v>
      </x:c>
      <x:c r="E7" s="30" t="str">
        <x:v>AI; creative industries; Tanzania</x:v>
      </x:c>
      <x:c r="F7" s="30" t="str">
        <x:v>Signals curiosity about emerging tools and local creative impact.</x:v>
      </x:c>
      <x:c r="G7" s="30" t="str">
        <x:v>Writing archive</x:v>
      </x:c>
      <x:c r="H7" s="30" t="str">
        <x:v>Visual experiment / illustration with article excerpt.</x:v>
      </x:c>
      <x:c r="I7" s="30" t="str">
        <x:v>https://medium.com/%40kidunejoseph91/how-chatgpt-4os-image-generator-is-a-game-changer-for-tanzania-s-creative-and-marketing-industries-b4aae3486afc</x:v>
      </x:c>
      <x:c r="J7" s="36" t="str">
        <x:v>Article URL verified; use judiciously to avoid an AI-heavy homepage.</x:v>
      </x:c>
    </x:row>
    <x:row r="8">
      <x:c r="A8" s="35" t="str">
        <x:v>ED-004</x:v>
      </x:c>
      <x:c r="B8" s="30" t="str">
        <x:v>How Can Communication Experts Incorporate AI into Their Daily Work?</x:v>
      </x:c>
      <x:c r="C8" s="30" t="str">
        <x:v>Medium article</x:v>
      </x:c>
      <x:c r="D8" s="49" t="n">
        <x:v>45702</x:v>
      </x:c>
      <x:c r="E8" s="30" t="str">
        <x:v>AI; communications practice</x:v>
      </x:c>
      <x:c r="F8" s="30" t="str">
        <x:v>Strengthens the AI + communications positioning.</x:v>
      </x:c>
      <x:c r="G8" s="30" t="str">
        <x:v>Ideas / Writing</x:v>
      </x:c>
      <x:c r="H8" s="30" t="str">
        <x:v>Practical checklist card with title and link.</x:v>
      </x:c>
      <x:c r="I8" s="30" t="str">
        <x:v>https://medium.com/%40kidunejoseph91/how-can-communication-experts-incorporate-ai-into-their-daily-work-d2b66cc4183b</x:v>
      </x:c>
      <x:c r="J8" s="36" t="str">
        <x:v>Article URL verified.</x:v>
      </x:c>
    </x:row>
    <x:row r="9">
      <x:c r="A9" s="35" t="str">
        <x:v>ED-005</x:v>
      </x:c>
      <x:c r="B9" s="30" t="str">
        <x:v>How Can We Use the MOJA Platform in Tanzania?</x:v>
      </x:c>
      <x:c r="C9" s="30" t="str">
        <x:v>Medium article</x:v>
      </x:c>
      <x:c r="D9" s="49" t="n">
        <x:v>45579</x:v>
      </x:c>
      <x:c r="E9" s="30" t="str">
        <x:v>Digital learning; Tanzania</x:v>
      </x:c>
      <x:c r="F9" s="30" t="str">
        <x:v>Shows familiarity with learning technologies and localisation.</x:v>
      </x:c>
      <x:c r="G9" s="30" t="str">
        <x:v>Writing archive</x:v>
      </x:c>
      <x:c r="H9" s="30" t="str">
        <x:v>Platform or learning-path diagram / article cover.</x:v>
      </x:c>
      <x:c r="I9" s="30" t="str">
        <x:v>https://medium.com/%40kidunejoseph91/how-can-we-use-the-moja-platform-in-tanzania-02a064e14daf</x:v>
      </x:c>
      <x:c r="J9" s="36" t="str">
        <x:v>Article URL verified.</x:v>
      </x:c>
    </x:row>
    <x:row r="10">
      <x:c r="A10" s="35" t="str">
        <x:v>ED-006</x:v>
      </x:c>
      <x:c r="B10" s="30" t="str">
        <x:v>How the Community Learning Centre is Helping Adult Learners Achieve Sustainable Success</x:v>
      </x:c>
      <x:c r="C10" s="30" t="str">
        <x:v>Medium article</x:v>
      </x:c>
      <x:c r="D10" s="49" t="n">
        <x:v>45454</x:v>
      </x:c>
      <x:c r="E10" s="30" t="str">
        <x:v>Adult education; impact storytelling</x:v>
      </x:c>
      <x:c r="F10" s="30" t="str">
        <x:v>Strong human-centred impact story that supports your work in community learning.</x:v>
      </x:c>
      <x:c r="G10" s="30" t="str">
        <x:v>Ideas / Writing</x:v>
      </x:c>
      <x:c r="H10" s="30" t="str">
        <x:v>Portrait/photo + impact quote + three-point summary.</x:v>
      </x:c>
      <x:c r="I10" s="30" t="str">
        <x:v>https://medium.com/%40kidunejoseph91/how-the-community-learning-centre-is-helping-adult-learners-achieve-sustainable-success-a681f3a748c0</x:v>
      </x:c>
      <x:c r="J10" s="36" t="str">
        <x:v>Article URL verified; obtain image permission for any reuse.</x:v>
      </x:c>
    </x:row>
    <x:row r="11">
      <x:c r="A11" s="35" t="str">
        <x:v>ED-007</x:v>
      </x:c>
      <x:c r="B11" s="30" t="str">
        <x:v>Cardamom Farming: The Green Gold of the Tropics</x:v>
      </x:c>
      <x:c r="C11" s="30" t="str">
        <x:v>Medium article</x:v>
      </x:c>
      <x:c r="D11" s="49" t="n">
        <x:v>45314</x:v>
      </x:c>
      <x:c r="E11" s="30" t="str">
        <x:v>Agriculture; storytelling</x:v>
      </x:c>
      <x:c r="F11" s="30" t="str">
        <x:v>Broadens the agriculture storytelling theme; secondary item.</x:v>
      </x:c>
      <x:c r="G11" s="30" t="str">
        <x:v>Writing archive</x:v>
      </x:c>
      <x:c r="H11" s="30" t="str">
        <x:v>Feature image + editorial typography.</x:v>
      </x:c>
      <x:c r="I11" s="30" t="str">
        <x:v>https://medium.com/%40kidunejoseph91/cardamom-farming-the-green-gold-of-the-tropics-7ccd74e5fd43</x:v>
      </x:c>
      <x:c r="J11" s="36" t="str">
        <x:v>Article URL verified.</x:v>
      </x:c>
    </x:row>
    <x:row r="12">
      <x:c r="A12" s="35" t="str">
        <x:v>ED-008</x:v>
      </x:c>
      <x:c r="B12" s="30" t="str">
        <x:v>From Hobby to Passion: Tanzanian UI/UX Designer Overcomes Challenges to Pursue Passion</x:v>
      </x:c>
      <x:c r="C12" s="30" t="str">
        <x:v>Medium article</x:v>
      </x:c>
      <x:c r="D12" s="49" t="n">
        <x:v>45020</x:v>
      </x:c>
      <x:c r="E12" s="30" t="str">
        <x:v>Career; UI/UX; Tanzania</x:v>
      </x:c>
      <x:c r="F12" s="30" t="str">
        <x:v>Useful personal story, but best placed in an archive or About-page link rather than main work.</x:v>
      </x:c>
      <x:c r="G12" s="30" t="str">
        <x:v>Writing archive / About</x:v>
      </x:c>
      <x:c r="H12" s="30" t="str">
        <x:v>Personal essay card with old work / timeline visual.</x:v>
      </x:c>
      <x:c r="I12" s="30" t="str">
        <x:v>https://medium.com/%40kidunejoseph91/from-hobby-to-passion-tanzanian-ui-ux-designer-overcomes-challenges-to-pursue-passion-a0751de6a6ea</x:v>
      </x:c>
      <x:c r="J12" s="36" t="str">
        <x:v>Article URL verified.</x:v>
      </x:c>
    </x:row>
    <x:row r="13">
      <x:c r="A13" s="35" t="str">
        <x:v>ED-009</x:v>
      </x:c>
      <x:c r="B13" s="30" t="str">
        <x:v>AI in Business: A Beginner’s Guide to Boost Your Income and Growth</x:v>
      </x:c>
      <x:c r="C13" s="30" t="str">
        <x:v>Medium article</x:v>
      </x:c>
      <x:c r="D13" s="49" t="n">
        <x:v>44978</x:v>
      </x:c>
      <x:c r="E13" s="30" t="str">
        <x:v>AI; business education</x:v>
      </x:c>
      <x:c r="F13" s="30" t="str">
        <x:v>Useful supporting proof of accessible AI writing.</x:v>
      </x:c>
      <x:c r="G13" s="30" t="str">
        <x:v>Writing archive</x:v>
      </x:c>
      <x:c r="H13" s="30" t="str">
        <x:v>Simple practical-guide graphic.</x:v>
      </x:c>
      <x:c r="I13" s="30" t="str">
        <x:v>https://medium.com/%40kidunejoseph91/ai-in-business-a-beginners-guide-to-boost-your-income-and-growth-6bc90b3c6220</x:v>
      </x:c>
      <x:c r="J13" s="36" t="str">
        <x:v>Article URL verified.</x:v>
      </x:c>
    </x:row>
    <x:row r="14">
      <x:c r="A14" s="35" t="str">
        <x:v>ED-010</x:v>
      </x:c>
      <x:c r="B14" s="30" t="str">
        <x:v>Young Women Striving in Agriculture &amp; Business</x:v>
      </x:c>
      <x:c r="C14" s="30" t="str">
        <x:v>Medium article</x:v>
      </x:c>
      <x:c r="D14" s="49" t="n">
        <x:v>44777</x:v>
      </x:c>
      <x:c r="E14" s="30" t="str">
        <x:v>Gender; agriculture; development</x:v>
      </x:c>
      <x:c r="F14" s="30" t="str">
        <x:v>Potential impact-storytelling reference; secondary portfolio item.</x:v>
      </x:c>
      <x:c r="G14" s="30" t="str">
        <x:v>Writing archive</x:v>
      </x:c>
      <x:c r="H14" s="30" t="str">
        <x:v>Human-centred editorial image; use only with permission.</x:v>
      </x:c>
      <x:c r="I14" s="30" t="str">
        <x:v>https://medium.com/%40kidunejoseph91/young-women-striving-in-agriculture-business-3464f0f4060d</x:v>
      </x:c>
      <x:c r="J14" s="36" t="str">
        <x:v>Article URL verified.</x:v>
      </x:c>
    </x:row>
    <x:row r="15">
      <x:c r="A15" s="37" t="str">
        <x:v>VD-001</x:v>
      </x:c>
      <x:c r="B15" s="38" t="str">
        <x:v>Vimeo Video Portfolio — Director of Photography</x:v>
      </x:c>
      <x:c r="C15" s="38" t="str">
        <x:v>Vimeo profile</x:v>
      </x:c>
      <x:c r="D15" s="50"/>
      <x:c r="E15" s="38" t="str">
        <x:v>Videography; direction of photography; visual stories</x:v>
      </x:c>
      <x:c r="F15" s="38" t="str">
        <x:v>Adds motion and visual storytelling to the portfolio if curated down to three named projects.</x:v>
      </x:c>
      <x:c r="G15" s="38" t="str">
        <x:v>Video reel</x:v>
      </x:c>
      <x:c r="H15" s="38" t="str">
        <x:v>Cinematic reel + three cards with title, client, role, duration, and outcome.</x:v>
      </x:c>
      <x:c r="I15" s="38" t="str">
        <x:v>https://vimeo.com/user68688471?fl=pp&amp;fe=sh</x:v>
      </x:c>
      <x:c r="J15" s="39" t="str">
        <x:v>Profile URL verified; individual video titles need manual review.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aeb22102bce34a8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3" hidden="0" customWidth="1"/>
    <x:col min="3" max="3" width="42" hidden="0" customWidth="1"/>
    <x:col min="4" max="4" width="20" hidden="0" customWidth="1"/>
    <x:col min="5" max="5" width="15" hidden="0" customWidth="1"/>
    <x:col min="6" max="6" width="48" hidden="0" customWidth="1"/>
    <x:col min="7" max="7" width="45" hidden="0" customWidth="1"/>
    <x:col min="8" max="8" width="30" hidden="0" customWidth="1"/>
    <x:col min="9" max="9" width="17" hidden="0" customWidth="1"/>
    <x:col min="10" max="10" width="25" hidden="0" customWidth="1"/>
    <x:col min="11" max="11" width="36" hidden="0" customWidth="1"/>
  </x:cols>
  <x:sheetData>
    <x:row r="1">
      <x:c r="A1" s="5" t="str">
        <x:v>Source Archive — collected public records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>
      <x:c r="A2" s="13" t="str">
        <x:v>This is the source-level inventory. It preserves duplicates across platforms so you can later decide which link, image, or project description is best for the final site.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</x:row>
    <x:row r="4" ht="34" customHeight="1">
      <x:c r="A4" s="22" t="str">
        <x:v>Source ID</x:v>
      </x:c>
      <x:c r="B4" s="22" t="str">
        <x:v>Platform</x:v>
      </x:c>
      <x:c r="C4" s="22" t="str">
        <x:v>Work / Item Title</x:v>
      </x:c>
      <x:c r="D4" s="22" t="str">
        <x:v>Content Type</x:v>
      </x:c>
      <x:c r="E4" s="22" t="str">
        <x:v>Published / Updated</x:v>
      </x:c>
      <x:c r="F4" s="22" t="str">
        <x:v>Source URL</x:v>
      </x:c>
      <x:c r="G4" s="22" t="str">
        <x:v>Public Description / Evidence</x:v>
      </x:c>
      <x:c r="H4" s="22" t="str">
        <x:v>Record Status</x:v>
      </x:c>
      <x:c r="I4" s="22" t="str">
        <x:v>Master Project Link</x:v>
      </x:c>
      <x:c r="J4" s="22" t="str">
        <x:v>Portfolio Recommendation</x:v>
      </x:c>
      <x:c r="K4" s="22" t="str">
        <x:v>Notes</x:v>
      </x:c>
    </x:row>
    <x:row r="5">
      <x:c r="A5" s="32" t="str">
        <x:v>BH-001</x:v>
      </x:c>
      <x:c r="B5" s="33" t="str">
        <x:v>Behance</x:v>
      </x:c>
      <x:c r="C5" s="33" t="str">
        <x:v>Brand Identity - Makaaya</x:v>
      </x:c>
      <x:c r="D5" s="33" t="str">
        <x:v>Brand identity</x:v>
      </x:c>
      <x:c r="E5" s="48"/>
      <x:c r="F5" s="33" t="str">
        <x:v>https://www.behance.net/kidunejoseph91</x:v>
      </x:c>
      <x:c r="G5" s="33" t="str">
        <x:v>Profile lists the project visually.</x:v>
      </x:c>
      <x:c r="H5" s="33" t="str">
        <x:v>Profile listing verified</x:v>
      </x:c>
      <x:c r="I5" s="33" t="str">
        <x:v>PT-010</x:v>
      </x:c>
      <x:c r="J5" s="33" t="str">
        <x:v>Candidate</x:v>
      </x:c>
      <x:c r="K5" s="34" t="str">
        <x:v>Open original project/source files for case-study detail.</x:v>
      </x:c>
    </x:row>
    <x:row r="6">
      <x:c r="A6" s="35" t="str">
        <x:v>BH-002</x:v>
      </x:c>
      <x:c r="B6" s="30" t="str">
        <x:v>Behance</x:v>
      </x:c>
      <x:c r="C6" s="30" t="str">
        <x:v>Framer Template - Interior Design</x:v>
      </x:c>
      <x:c r="D6" s="30" t="str">
        <x:v>Template / website</x:v>
      </x:c>
      <x:c r="E6" s="49"/>
      <x:c r="F6" s="30" t="str">
        <x:v>https://www.behance.net/kidunejoseph91</x:v>
      </x:c>
      <x:c r="G6" s="30" t="str">
        <x:v>Profile lists the project visually.</x:v>
      </x:c>
      <x:c r="H6" s="30" t="str">
        <x:v>Profile listing verified</x:v>
      </x:c>
      <x:c r="I6" s="30" t="str">
        <x:v>PT-007</x:v>
      </x:c>
      <x:c r="J6" s="30" t="str">
        <x:v>Candidate</x:v>
      </x:c>
      <x:c r="K6" s="36" t="str">
        <x:v>Open original project/source files for case-study detail.</x:v>
      </x:c>
    </x:row>
    <x:row r="7">
      <x:c r="A7" s="35" t="str">
        <x:v>BH-003</x:v>
      </x:c>
      <x:c r="B7" s="30" t="str">
        <x:v>Behance</x:v>
      </x:c>
      <x:c r="C7" s="30" t="str">
        <x:v>UI Elements</x:v>
      </x:c>
      <x:c r="D7" s="30" t="str">
        <x:v>UI collection</x:v>
      </x:c>
      <x:c r="E7" s="49"/>
      <x:c r="F7" s="30" t="str">
        <x:v>https://www.behance.net/kidunejoseph91</x:v>
      </x:c>
      <x:c r="G7" s="30" t="str">
        <x:v>Profile lists the project visually.</x:v>
      </x:c>
      <x:c r="H7" s="30" t="str">
        <x:v>Profile listing verified</x:v>
      </x:c>
      <x:c r="I7" s="30" t="str">
        <x:v>PT-021</x:v>
      </x:c>
      <x:c r="J7" s="30" t="str">
        <x:v>Support collection</x:v>
      </x:c>
      <x:c r="K7" s="36" t="str">
        <x:v>Open original project/source files for case-study detail.</x:v>
      </x:c>
    </x:row>
    <x:row r="8">
      <x:c r="A8" s="35" t="str">
        <x:v>BH-004</x:v>
      </x:c>
      <x:c r="B8" s="30" t="str">
        <x:v>Behance</x:v>
      </x:c>
      <x:c r="C8" s="30" t="str">
        <x:v>Landing Page Design for EarthHarvest Alliance</x:v>
      </x:c>
      <x:c r="D8" s="30" t="str">
        <x:v>UI/UX website</x:v>
      </x:c>
      <x:c r="E8" s="49"/>
      <x:c r="F8" s="30" t="str">
        <x:v>https://www.behance.net/kidunejoseph91</x:v>
      </x:c>
      <x:c r="G8" s="30" t="str">
        <x:v>Profile lists the project visually.</x:v>
      </x:c>
      <x:c r="H8" s="30" t="str">
        <x:v>Profile listing verified</x:v>
      </x:c>
      <x:c r="I8" s="30" t="str">
        <x:v>PT-008</x:v>
      </x:c>
      <x:c r="J8" s="30" t="str">
        <x:v>Candidate</x:v>
      </x:c>
      <x:c r="K8" s="36" t="str">
        <x:v>Open original project/source files for case-study detail.</x:v>
      </x:c>
    </x:row>
    <x:row r="9">
      <x:c r="A9" s="35" t="str">
        <x:v>BH-005</x:v>
      </x:c>
      <x:c r="B9" s="30" t="str">
        <x:v>Behance</x:v>
      </x:c>
      <x:c r="C9" s="30" t="str">
        <x:v>Present Day Farms Brand Identity</x:v>
      </x:c>
      <x:c r="D9" s="30" t="str">
        <x:v>Brand identity</x:v>
      </x:c>
      <x:c r="E9" s="49"/>
      <x:c r="F9" s="30" t="str">
        <x:v>https://www.behance.net/kidunejoseph91</x:v>
      </x:c>
      <x:c r="G9" s="30" t="str">
        <x:v>Profile lists the project visually.</x:v>
      </x:c>
      <x:c r="H9" s="30" t="str">
        <x:v>Profile listing verified</x:v>
      </x:c>
      <x:c r="I9" s="30" t="str">
        <x:v>PT-009</x:v>
      </x:c>
      <x:c r="J9" s="30" t="str">
        <x:v>Candidate</x:v>
      </x:c>
      <x:c r="K9" s="36" t="str">
        <x:v>Open original project/source files for case-study detail.</x:v>
      </x:c>
    </x:row>
    <x:row r="10">
      <x:c r="A10" s="35" t="str">
        <x:v>BH-006</x:v>
      </x:c>
      <x:c r="B10" s="30" t="str">
        <x:v>Behance</x:v>
      </x:c>
      <x:c r="C10" s="30" t="str">
        <x:v>EVENT BRANDING</x:v>
      </x:c>
      <x:c r="D10" s="30" t="str">
        <x:v>Event / print</x:v>
      </x:c>
      <x:c r="E10" s="49"/>
      <x:c r="F10" s="30" t="str">
        <x:v>https://www.behance.net/kidunejoseph91</x:v>
      </x:c>
      <x:c r="G10" s="30" t="str">
        <x:v>Profile lists the project visually.</x:v>
      </x:c>
      <x:c r="H10" s="30" t="str">
        <x:v>Profile listing verified</x:v>
      </x:c>
      <x:c r="I10" s="30" t="str">
        <x:v>PT-013</x:v>
      </x:c>
      <x:c r="J10" s="30" t="str">
        <x:v>Support collection</x:v>
      </x:c>
      <x:c r="K10" s="36" t="str">
        <x:v>Open original project/source files for case-study detail.</x:v>
      </x:c>
    </x:row>
    <x:row r="11">
      <x:c r="A11" s="35" t="str">
        <x:v>BH-007</x:v>
      </x:c>
      <x:c r="B11" s="30" t="str">
        <x:v>Behance</x:v>
      </x:c>
      <x:c r="C11" s="30" t="str">
        <x:v>ROSE BEAUTY PALACE - BRAND IDENTITY &amp; LOGO</x:v>
      </x:c>
      <x:c r="D11" s="30" t="str">
        <x:v>Brand identity</x:v>
      </x:c>
      <x:c r="E11" s="49"/>
      <x:c r="F11" s="30" t="str">
        <x:v>https://www.behance.net/kidunejoseph91</x:v>
      </x:c>
      <x:c r="G11" s="30" t="str">
        <x:v>Profile lists the project visually.</x:v>
      </x:c>
      <x:c r="H11" s="30" t="str">
        <x:v>Profile listing verified</x:v>
      </x:c>
      <x:c r="I11" s="30" t="str">
        <x:v>PT-014</x:v>
      </x:c>
      <x:c r="J11" s="30" t="str">
        <x:v>Candidate</x:v>
      </x:c>
      <x:c r="K11" s="36" t="str">
        <x:v>Open original project/source files for case-study detail.</x:v>
      </x:c>
    </x:row>
    <x:row r="12">
      <x:c r="A12" s="35" t="str">
        <x:v>BH-008</x:v>
      </x:c>
      <x:c r="B12" s="30" t="str">
        <x:v>Behance</x:v>
      </x:c>
      <x:c r="C12" s="30" t="str">
        <x:v>POSTER DESIGN WORK</x:v>
      </x:c>
      <x:c r="D12" s="30" t="str">
        <x:v>Print / campaign</x:v>
      </x:c>
      <x:c r="E12" s="49"/>
      <x:c r="F12" s="30" t="str">
        <x:v>https://www.behance.net/kidunejoseph91</x:v>
      </x:c>
      <x:c r="G12" s="30" t="str">
        <x:v>Profile lists the project visually.</x:v>
      </x:c>
      <x:c r="H12" s="30" t="str">
        <x:v>Profile listing verified</x:v>
      </x:c>
      <x:c r="I12" s="30" t="str">
        <x:v>PT-022</x:v>
      </x:c>
      <x:c r="J12" s="30" t="str">
        <x:v>Archive collection</x:v>
      </x:c>
      <x:c r="K12" s="36" t="str">
        <x:v>Open original project/source files for case-study detail.</x:v>
      </x:c>
    </x:row>
    <x:row r="13">
      <x:c r="A13" s="35" t="str">
        <x:v>BH-009</x:v>
      </x:c>
      <x:c r="B13" s="30" t="str">
        <x:v>Behance</x:v>
      </x:c>
      <x:c r="C13" s="30" t="str">
        <x:v>Valentine Poster</x:v>
      </x:c>
      <x:c r="D13" s="30" t="str">
        <x:v>Print / campaign</x:v>
      </x:c>
      <x:c r="E13" s="49"/>
      <x:c r="F13" s="30" t="str">
        <x:v>https://www.behance.net/kidunejoseph91</x:v>
      </x:c>
      <x:c r="G13" s="30" t="str">
        <x:v>Profile lists the project visually.</x:v>
      </x:c>
      <x:c r="H13" s="30" t="str">
        <x:v>Profile listing verified</x:v>
      </x:c>
      <x:c r="I13" s="30" t="str"/>
      <x:c r="J13" s="30" t="str">
        <x:v>Archive unless exceptional</x:v>
      </x:c>
      <x:c r="K13" s="36" t="str">
        <x:v>Open original project/source files for case-study detail.</x:v>
      </x:c>
    </x:row>
    <x:row r="14">
      <x:c r="A14" s="35" t="str">
        <x:v>BH-010</x:v>
      </x:c>
      <x:c r="B14" s="30" t="str">
        <x:v>Behance</x:v>
      </x:c>
      <x:c r="C14" s="30" t="str">
        <x:v>Roll Up Banners</x:v>
      </x:c>
      <x:c r="D14" s="30" t="str">
        <x:v>Print / event</x:v>
      </x:c>
      <x:c r="E14" s="49"/>
      <x:c r="F14" s="30" t="str">
        <x:v>https://www.behance.net/kidunejoseph91</x:v>
      </x:c>
      <x:c r="G14" s="30" t="str">
        <x:v>Profile lists the project visually.</x:v>
      </x:c>
      <x:c r="H14" s="30" t="str">
        <x:v>Profile listing verified</x:v>
      </x:c>
      <x:c r="I14" s="30" t="str">
        <x:v>PT-023</x:v>
      </x:c>
      <x:c r="J14" s="30" t="str">
        <x:v>Archive collection</x:v>
      </x:c>
      <x:c r="K14" s="36" t="str">
        <x:v>Open original project/source files for case-study detail.</x:v>
      </x:c>
    </x:row>
    <x:row r="15">
      <x:c r="A15" s="35" t="str">
        <x:v>BH-011</x:v>
      </x:c>
      <x:c r="B15" s="30" t="str">
        <x:v>Behance</x:v>
      </x:c>
      <x:c r="C15" s="30" t="str">
        <x:v>MKULIMA GPT EVENT COVERAGE</x:v>
      </x:c>
      <x:c r="D15" s="30" t="str">
        <x:v>Event / content</x:v>
      </x:c>
      <x:c r="E15" s="49"/>
      <x:c r="F15" s="30" t="str">
        <x:v>https://www.behance.net/kidunejoseph91</x:v>
      </x:c>
      <x:c r="G15" s="30" t="str">
        <x:v>Profile lists the project visually.</x:v>
      </x:c>
      <x:c r="H15" s="30" t="str">
        <x:v>Profile listing verified</x:v>
      </x:c>
      <x:c r="I15" s="30" t="str">
        <x:v>PT-012</x:v>
      </x:c>
      <x:c r="J15" s="30" t="str">
        <x:v>Candidate</x:v>
      </x:c>
      <x:c r="K15" s="36" t="str">
        <x:v>Open original project/source files for case-study detail.</x:v>
      </x:c>
    </x:row>
    <x:row r="16">
      <x:c r="A16" s="35" t="str">
        <x:v>BH-012</x:v>
      </x:c>
      <x:c r="B16" s="30" t="str">
        <x:v>Behance</x:v>
      </x:c>
      <x:c r="C16" s="30" t="str">
        <x:v>Haperd Construction Profile</x:v>
      </x:c>
      <x:c r="D16" s="30" t="str">
        <x:v>Corporate profile</x:v>
      </x:c>
      <x:c r="E16" s="49"/>
      <x:c r="F16" s="30" t="str">
        <x:v>https://www.behance.net/kidunejoseph91</x:v>
      </x:c>
      <x:c r="G16" s="30" t="str">
        <x:v>Profile lists the project visually.</x:v>
      </x:c>
      <x:c r="H16" s="30" t="str">
        <x:v>Profile listing verified</x:v>
      </x:c>
      <x:c r="I16" s="30" t="str">
        <x:v>PT-011</x:v>
      </x:c>
      <x:c r="J16" s="30" t="str">
        <x:v>Candidate</x:v>
      </x:c>
      <x:c r="K16" s="36" t="str">
        <x:v>Open original project/source files for case-study detail.</x:v>
      </x:c>
    </x:row>
    <x:row r="17">
      <x:c r="A17" s="35" t="str">
        <x:v>CT-001</x:v>
      </x:c>
      <x:c r="B17" s="30" t="str">
        <x:v>Contra</x:v>
      </x:c>
      <x:c r="C17" s="30" t="str">
        <x:v>MARCA LUNA - Personal Project</x:v>
      </x:c>
      <x:c r="D17" s="30" t="str">
        <x:v>Website / portfolio</x:v>
      </x:c>
      <x:c r="E17" s="49"/>
      <x:c r="F17" s="30" t="str">
        <x:v>https://contra.com/joseph_masonda_97192rn2/work</x:v>
      </x:c>
      <x:c r="G17" s="30" t="str">
        <x:v>Editorial experience with perspective transitions, Sanity CMS, responsive animation and cinematic works scroll.</x:v>
      </x:c>
      <x:c r="H17" s="30" t="str">
        <x:v>Direct project page verified</x:v>
      </x:c>
      <x:c r="I17" s="30" t="str">
        <x:v>PT-003</x:v>
      </x:c>
      <x:c r="J17" s="30" t="str">
        <x:v>Featured candidate</x:v>
      </x:c>
      <x:c r="K17" s="36" t="str">
        <x:v>Use this as a source for written case-study detail.</x:v>
      </x:c>
    </x:row>
    <x:row r="18">
      <x:c r="A18" s="35" t="str">
        <x:v>CT-002</x:v>
      </x:c>
      <x:c r="B18" s="30" t="str">
        <x:v>Contra</x:v>
      </x:c>
      <x:c r="C18" s="30" t="str">
        <x:v>AfrONet — the African Organic Network</x:v>
      </x:c>
      <x:c r="D18" s="30" t="str">
        <x:v>Website / NGO</x:v>
      </x:c>
      <x:c r="E18" s="49"/>
      <x:c r="F18" s="30" t="str">
        <x:v>https://contra.com/joseph_masonda_97192rn2/work</x:v>
      </x:c>
      <x:c r="G18" s="30" t="str">
        <x:v>Editorial site, WordPress/headless CMS claim, responsive build and programme pages for a continental organic network.</x:v>
      </x:c>
      <x:c r="H18" s="30" t="str">
        <x:v>Direct project page verified</x:v>
      </x:c>
      <x:c r="I18" s="30" t="str">
        <x:v>PT-001</x:v>
      </x:c>
      <x:c r="J18" s="30" t="str">
        <x:v>Featured candidate</x:v>
      </x:c>
      <x:c r="K18" s="36" t="str">
        <x:v>Use this as a source for written case-study detail.</x:v>
      </x:c>
    </x:row>
    <x:row r="19">
      <x:c r="A19" s="35" t="str">
        <x:v>CT-003</x:v>
      </x:c>
      <x:c r="B19" s="30" t="str">
        <x:v>Contra</x:v>
      </x:c>
      <x:c r="C19" s="30" t="str">
        <x:v>Free Framer Template for Interior Designers</x:v>
      </x:c>
      <x:c r="D19" s="30" t="str">
        <x:v>Template</x:v>
      </x:c>
      <x:c r="E19" s="49"/>
      <x:c r="F19" s="30" t="str">
        <x:v>https://contra.com/p/6o77FoL6-free-framer-template-for-interior-designers</x:v>
      </x:c>
      <x:c r="G19" s="30" t="str">
        <x:v>Figma-to-Framer template with responsive layouts and two CMS systems.</x:v>
      </x:c>
      <x:c r="H19" s="30" t="str">
        <x:v>Direct project page verified</x:v>
      </x:c>
      <x:c r="I19" s="30" t="str">
        <x:v>PT-007</x:v>
      </x:c>
      <x:c r="J19" s="30" t="str">
        <x:v>Work grid</x:v>
      </x:c>
      <x:c r="K19" s="36" t="str">
        <x:v>Use this as a source for written case-study detail.</x:v>
      </x:c>
    </x:row>
    <x:row r="20">
      <x:c r="A20" s="35" t="str">
        <x:v>CT-004</x:v>
      </x:c>
      <x:c r="B20" s="30" t="str">
        <x:v>Contra</x:v>
      </x:c>
      <x:c r="C20" s="30" t="str">
        <x:v>Framer Website Design - Solura</x:v>
      </x:c>
      <x:c r="D20" s="30" t="str">
        <x:v>Website</x:v>
      </x:c>
      <x:c r="E20" s="49"/>
      <x:c r="F20" s="30" t="str">
        <x:v>https://contra.com/p/W6BF3RLQ-framer-website-design-solura</x:v>
      </x:c>
      <x:c r="G20" s="30" t="str">
        <x:v>Clean-energy site concept with responsive landing page, custom CMS, case-study system and consultation conversion path.</x:v>
      </x:c>
      <x:c r="H20" s="30" t="str">
        <x:v>Direct project page verified</x:v>
      </x:c>
      <x:c r="I20" s="30" t="str">
        <x:v>PT-004</x:v>
      </x:c>
      <x:c r="J20" s="30" t="str">
        <x:v>Featured candidate</x:v>
      </x:c>
      <x:c r="K20" s="36" t="str">
        <x:v>Use this as a source for written case-study detail.</x:v>
      </x:c>
    </x:row>
    <x:row r="21">
      <x:c r="A21" s="35" t="str">
        <x:v>CT-005</x:v>
      </x:c>
      <x:c r="B21" s="30" t="str">
        <x:v>Contra</x:v>
      </x:c>
      <x:c r="C21" s="30" t="str">
        <x:v>MedicoCare - Framer Website Development</x:v>
      </x:c>
      <x:c r="D21" s="30" t="str">
        <x:v>Website</x:v>
      </x:c>
      <x:c r="E21" s="49"/>
      <x:c r="F21" s="30" t="str">
        <x:v>https://contra.com/p/emONR2vo-medico-care-framer-website-development</x:v>
      </x:c>
      <x:c r="G21" s="30" t="str">
        <x:v>Healthcare platform with research, wireframes, responsive design and appointment scheduling UX.</x:v>
      </x:c>
      <x:c r="H21" s="30" t="str">
        <x:v>Direct project page verified</x:v>
      </x:c>
      <x:c r="I21" s="30" t="str">
        <x:v>PT-005</x:v>
      </x:c>
      <x:c r="J21" s="30" t="str">
        <x:v>Featured candidate</x:v>
      </x:c>
      <x:c r="K21" s="36" t="str">
        <x:v>Use this as a source for written case-study detail.</x:v>
      </x:c>
    </x:row>
    <x:row r="22">
      <x:c r="A22" s="35" t="str">
        <x:v>CT-006</x:v>
      </x:c>
      <x:c r="B22" s="30" t="str">
        <x:v>Contra</x:v>
      </x:c>
      <x:c r="C22" s="30" t="str">
        <x:v>Momentum Coach Website Development</x:v>
      </x:c>
      <x:c r="D22" s="30" t="str">
        <x:v>Website</x:v>
      </x:c>
      <x:c r="E22" s="49"/>
      <x:c r="F22" s="30" t="str">
        <x:v>https://contra.com/p/6XB6gbX6-momentum-coach-website-development</x:v>
      </x:c>
      <x:c r="G22" s="30" t="str">
        <x:v>High-converting landing page concept for consultation booking and customer trust.</x:v>
      </x:c>
      <x:c r="H22" s="30" t="str">
        <x:v>Direct project page verified</x:v>
      </x:c>
      <x:c r="I22" s="30" t="str">
        <x:v>PT-006</x:v>
      </x:c>
      <x:c r="J22" s="30" t="str">
        <x:v>Work grid</x:v>
      </x:c>
      <x:c r="K22" s="36" t="str">
        <x:v>Use this as a source for written case-study detail.</x:v>
      </x:c>
    </x:row>
    <x:row r="23">
      <x:c r="A23" s="35" t="str">
        <x:v>CT-007</x:v>
      </x:c>
      <x:c r="B23" s="30" t="str">
        <x:v>Contra</x:v>
      </x:c>
      <x:c r="C23" s="30" t="str">
        <x:v>Present Day Farms Brand Identity</x:v>
      </x:c>
      <x:c r="D23" s="30" t="str">
        <x:v>Brand identity</x:v>
      </x:c>
      <x:c r="E23" s="49"/>
      <x:c r="F23" s="30" t="str">
        <x:v>https://contra.com/p/LWLE2lmA-present-day-farms-brand-identity</x:v>
      </x:c>
      <x:c r="G23" s="30" t="str">
        <x:v>Brand design for nonprofit agriculture organisation.</x:v>
      </x:c>
      <x:c r="H23" s="30" t="str">
        <x:v>Direct project page verified</x:v>
      </x:c>
      <x:c r="I23" s="30" t="str">
        <x:v>PT-009</x:v>
      </x:c>
      <x:c r="J23" s="30" t="str">
        <x:v>Work grid</x:v>
      </x:c>
      <x:c r="K23" s="36" t="str">
        <x:v>Use this as a source for written case-study detail.</x:v>
      </x:c>
    </x:row>
    <x:row r="24">
      <x:c r="A24" s="35" t="str">
        <x:v>CT-008</x:v>
      </x:c>
      <x:c r="B24" s="30" t="str">
        <x:v>Contra</x:v>
      </x:c>
      <x:c r="C24" s="30" t="str">
        <x:v>EarthHarvest Alliance: UI UX Website Design</x:v>
      </x:c>
      <x:c r="D24" s="30" t="str">
        <x:v>UI/UX website</x:v>
      </x:c>
      <x:c r="E24" s="49"/>
      <x:c r="F24" s="30" t="str">
        <x:v>https://contra.com/p/3qrU6OBk-earth-harvest-alliance-ui-ux-website-design</x:v>
      </x:c>
      <x:c r="G24" s="30" t="str">
        <x:v>Nonprofit climate/agriculture redesign concept based on research, personas and impact dashboard.</x:v>
      </x:c>
      <x:c r="H24" s="30" t="str">
        <x:v>Direct project page verified</x:v>
      </x:c>
      <x:c r="I24" s="30" t="str">
        <x:v>PT-008</x:v>
      </x:c>
      <x:c r="J24" s="30" t="str">
        <x:v>Featured candidate</x:v>
      </x:c>
      <x:c r="K24" s="36" t="str">
        <x:v>Use this as a source for written case-study detail.</x:v>
      </x:c>
    </x:row>
    <x:row r="25">
      <x:c r="A25" s="35" t="str">
        <x:v>GH-001</x:v>
      </x:c>
      <x:c r="B25" s="30" t="str">
        <x:v>GitHub</x:v>
      </x:c>
      <x:c r="C25" s="30" t="str">
        <x:v>personal-website</x:v>
      </x:c>
      <x:c r="D25" s="30" t="str">
        <x:v>Repository / TypeScript</x:v>
      </x:c>
      <x:c r="E25" s="49"/>
      <x:c r="F25" s="30" t="str">
        <x:v>https://github.com/jkidune/personal-website</x:v>
      </x:c>
      <x:c r="G25" s="30" t="str">
        <x:v>Portfolio website for Joseph Masonda</x:v>
      </x:c>
      <x:c r="H25" s="30" t="str">
        <x:v>Repository page/profile listing verified</x:v>
      </x:c>
      <x:c r="I25" s="30" t="str">
        <x:v>PT-020</x:v>
      </x:c>
      <x:c r="J25" s="30" t="str">
        <x:v>Candidate</x:v>
      </x:c>
      <x:c r="K25" s="36" t="str">
        <x:v>Flag forks/re-makes clearly; select only authored work.</x:v>
      </x:c>
    </x:row>
    <x:row r="26">
      <x:c r="A26" s="35" t="str">
        <x:v>GH-002</x:v>
      </x:c>
      <x:c r="B26" s="30" t="str">
        <x:v>GitHub</x:v>
      </x:c>
      <x:c r="C26" s="30" t="str">
        <x:v>afronet-web</x:v>
      </x:c>
      <x:c r="D26" s="30" t="str">
        <x:v>Repository / TypeScript</x:v>
      </x:c>
      <x:c r="E26" s="49"/>
      <x:c r="F26" s="30" t="str">
        <x:v>https://github.com/jkidune/afronet-web</x:v>
      </x:c>
      <x:c r="G26" s="30" t="str">
        <x:v>NGO Website for AfroNet bio</x:v>
      </x:c>
      <x:c r="H26" s="30" t="str">
        <x:v>Repository page/profile listing verified</x:v>
      </x:c>
      <x:c r="I26" s="30" t="str">
        <x:v>PT-001</x:v>
      </x:c>
      <x:c r="J26" s="30" t="str">
        <x:v>Featured candidate</x:v>
      </x:c>
      <x:c r="K26" s="36" t="str">
        <x:v>Flag forks/re-makes clearly; select only authored work.</x:v>
      </x:c>
    </x:row>
    <x:row r="27">
      <x:c r="A27" s="35" t="str">
        <x:v>GH-003</x:v>
      </x:c>
      <x:c r="B27" s="30" t="str">
        <x:v>GitHub</x:v>
      </x:c>
      <x:c r="C27" s="30" t="str">
        <x:v>barons-digital</x:v>
      </x:c>
      <x:c r="D27" s="30" t="str">
        <x:v>Repository / TypeScript</x:v>
      </x:c>
      <x:c r="E27" s="49"/>
      <x:c r="F27" s="30" t="str">
        <x:v>https://github.com/jkidune/barons-digital</x:v>
      </x:c>
      <x:c r="G27" s="30" t="str">
        <x:v>Agency Website for Barons Digital Co</x:v>
      </x:c>
      <x:c r="H27" s="30" t="str">
        <x:v>Repository page/profile listing verified</x:v>
      </x:c>
      <x:c r="I27" s="30" t="str">
        <x:v>PT-002</x:v>
      </x:c>
      <x:c r="J27" s="30" t="str">
        <x:v>Featured candidate</x:v>
      </x:c>
      <x:c r="K27" s="36" t="str">
        <x:v>Flag forks/re-makes clearly; select only authored work.</x:v>
      </x:c>
    </x:row>
    <x:row r="28">
      <x:c r="A28" s="35" t="str">
        <x:v>GH-004</x:v>
      </x:c>
      <x:c r="B28" s="30" t="str">
        <x:v>GitHub</x:v>
      </x:c>
      <x:c r="C28" s="30" t="str">
        <x:v>fluid-alchemy</x:v>
      </x:c>
      <x:c r="D28" s="30" t="str">
        <x:v>Repository / TypeScript</x:v>
      </x:c>
      <x:c r="E28" s="49"/>
      <x:c r="F28" s="30" t="str">
        <x:v>https://github.com/jkidune/fluid-alchemy</x:v>
      </x:c>
      <x:c r="G28" s="30" t="str">
        <x:v>Repository title only; no public description extracted</x:v>
      </x:c>
      <x:c r="H28" s="30" t="str">
        <x:v>Repository page/profile listing verified</x:v>
      </x:c>
      <x:c r="I28" s="30" t="str"/>
      <x:c r="J28" s="30" t="str">
        <x:v>Review manually</x:v>
      </x:c>
      <x:c r="K28" s="36" t="str">
        <x:v>Flag forks/re-makes clearly; select only authored work.</x:v>
      </x:c>
    </x:row>
    <x:row r="29">
      <x:c r="A29" s="35" t="str">
        <x:v>GH-005</x:v>
      </x:c>
      <x:c r="B29" s="30" t="str">
        <x:v>GitHub</x:v>
      </x:c>
      <x:c r="C29" s="30" t="str">
        <x:v>liquid-dom</x:v>
      </x:c>
      <x:c r="D29" s="30" t="str">
        <x:v>Repository / TypeScript</x:v>
      </x:c>
      <x:c r="E29" s="49"/>
      <x:c r="F29" s="30" t="str">
        <x:v>https://github.com/jkidune/liquid-dom</x:v>
      </x:c>
      <x:c r="G29" s="30" t="str">
        <x:v>Fork: Liquid Glass for the Web</x:v>
      </x:c>
      <x:c r="H29" s="30" t="str">
        <x:v>Repository page/profile listing verified</x:v>
      </x:c>
      <x:c r="I29" s="30" t="str"/>
      <x:c r="J29" s="30" t="str">
        <x:v>Do not feature as authored work</x:v>
      </x:c>
      <x:c r="K29" s="36" t="str">
        <x:v>Flag forks/re-makes clearly; select only authored work.</x:v>
      </x:c>
    </x:row>
    <x:row r="30">
      <x:c r="A30" s="35" t="str">
        <x:v>GH-006</x:v>
      </x:c>
      <x:c r="B30" s="30" t="str">
        <x:v>GitHub</x:v>
      </x:c>
      <x:c r="C30" s="30" t="str">
        <x:v>agentik-hero</x:v>
      </x:c>
      <x:c r="D30" s="30" t="str">
        <x:v>Repository / TypeScript</x:v>
      </x:c>
      <x:c r="E30" s="49"/>
      <x:c r="F30" s="30" t="str">
        <x:v>https://github.com/jkidune/agentik-hero</x:v>
      </x:c>
      <x:c r="G30" s="30" t="str">
        <x:v>Repository title only; no public description extracted</x:v>
      </x:c>
      <x:c r="H30" s="30" t="str">
        <x:v>Repository page/profile listing verified</x:v>
      </x:c>
      <x:c r="I30" s="30" t="str"/>
      <x:c r="J30" s="30" t="str">
        <x:v>Review manually</x:v>
      </x:c>
      <x:c r="K30" s="36" t="str">
        <x:v>Flag forks/re-makes clearly; select only authored work.</x:v>
      </x:c>
    </x:row>
    <x:row r="31">
      <x:c r="A31" s="35" t="str">
        <x:v>GH-007</x:v>
      </x:c>
      <x:c r="B31" s="30" t="str">
        <x:v>GitHub</x:v>
      </x:c>
      <x:c r="C31" s="30" t="str">
        <x:v>NEUE-Editorial-Site-Template</x:v>
      </x:c>
      <x:c r="D31" s="30" t="str">
        <x:v>Repository / CSS</x:v>
      </x:c>
      <x:c r="E31" s="49"/>
      <x:c r="F31" s="30" t="str">
        <x:v>https://github.com/jkidune/NEUE-Editorial-Site-Template</x:v>
      </x:c>
      <x:c r="G31" s="30" t="str">
        <x:v>Editorial site template</x:v>
      </x:c>
      <x:c r="H31" s="30" t="str">
        <x:v>Repository page/profile listing verified</x:v>
      </x:c>
      <x:c r="I31" s="30" t="str"/>
      <x:c r="J31" s="30" t="str">
        <x:v>Potential visual lab</x:v>
      </x:c>
      <x:c r="K31" s="36" t="str">
        <x:v>Flag forks/re-makes clearly; select only authored work.</x:v>
      </x:c>
    </x:row>
    <x:row r="32">
      <x:c r="A32" s="35" t="str">
        <x:v>GH-008</x:v>
      </x:c>
      <x:c r="B32" s="30" t="str">
        <x:v>GitHub</x:v>
      </x:c>
      <x:c r="C32" s="30" t="str">
        <x:v>zero-native</x:v>
      </x:c>
      <x:c r="D32" s="30" t="str">
        <x:v>Repository / Zig</x:v>
      </x:c>
      <x:c r="E32" s="49"/>
      <x:c r="F32" s="30" t="str">
        <x:v>https://github.com/jkidune/zero-native</x:v>
      </x:c>
      <x:c r="G32" s="30" t="str">
        <x:v>Fork: Build desktop + mobile apps with Zig and web UI</x:v>
      </x:c>
      <x:c r="H32" s="30" t="str">
        <x:v>Repository page/profile listing verified</x:v>
      </x:c>
      <x:c r="I32" s="30" t="str"/>
      <x:c r="J32" s="30" t="str">
        <x:v>Do not feature as authored work</x:v>
      </x:c>
      <x:c r="K32" s="36" t="str">
        <x:v>Flag forks/re-makes clearly; select only authored work.</x:v>
      </x:c>
    </x:row>
    <x:row r="33">
      <x:c r="A33" s="35" t="str">
        <x:v>GH-009</x:v>
      </x:c>
      <x:c r="B33" s="30" t="str">
        <x:v>GitHub</x:v>
      </x:c>
      <x:c r="C33" s="30" t="str">
        <x:v>checkpoint-dashboard</x:v>
      </x:c>
      <x:c r="D33" s="30" t="str">
        <x:v>Repository / JavaScript</x:v>
      </x:c>
      <x:c r="E33" s="49"/>
      <x:c r="F33" s="30" t="str">
        <x:v>https://github.com/jkidune/checkpoint-dashboard</x:v>
      </x:c>
      <x:c r="G33" s="30" t="str">
        <x:v>Financial Management Web App for Checkpoint Investment Club</x:v>
      </x:c>
      <x:c r="H33" s="30" t="str">
        <x:v>Repository page/profile listing verified</x:v>
      </x:c>
      <x:c r="I33" s="30" t="str">
        <x:v>PT-015</x:v>
      </x:c>
      <x:c r="J33" s="30" t="str">
        <x:v>Featured candidate</x:v>
      </x:c>
      <x:c r="K33" s="36" t="str">
        <x:v>Flag forks/re-makes clearly; select only authored work.</x:v>
      </x:c>
    </x:row>
    <x:row r="34">
      <x:c r="A34" s="35" t="str">
        <x:v>GH-010</x:v>
      </x:c>
      <x:c r="B34" s="30" t="str">
        <x:v>GitHub</x:v>
      </x:c>
      <x:c r="C34" s="30" t="str">
        <x:v>barons-docs</x:v>
      </x:c>
      <x:c r="D34" s="30" t="str">
        <x:v>Repository / TypeScript</x:v>
      </x:c>
      <x:c r="E34" s="49"/>
      <x:c r="F34" s="30" t="str">
        <x:v>https://github.com/jkidune/barons-docs</x:v>
      </x:c>
      <x:c r="G34" s="30" t="str">
        <x:v>Headless WordPress + Next.js Guide — Barons Digital</x:v>
      </x:c>
      <x:c r="H34" s="30" t="str">
        <x:v>Repository page/profile listing verified</x:v>
      </x:c>
      <x:c r="I34" s="30" t="str"/>
      <x:c r="J34" s="30" t="str">
        <x:v>Supporting proof / process</x:v>
      </x:c>
      <x:c r="K34" s="36" t="str">
        <x:v>Flag forks/re-makes clearly; select only authored work.</x:v>
      </x:c>
    </x:row>
    <x:row r="35">
      <x:c r="A35" s="35" t="str">
        <x:v>GH-011</x:v>
      </x:c>
      <x:c r="B35" s="30" t="str">
        <x:v>GitHub</x:v>
      </x:c>
      <x:c r="C35" s="30" t="str">
        <x:v>joseph-neu-project</x:v>
      </x:c>
      <x:c r="D35" s="30" t="str">
        <x:v>Repository / TypeScript</x:v>
      </x:c>
      <x:c r="E35" s="49"/>
      <x:c r="F35" s="30" t="str">
        <x:v>https://github.com/jkidune/joseph-neu-project</x:v>
      </x:c>
      <x:c r="G35" s="30" t="str">
        <x:v>Fun project to learn shaders</x:v>
      </x:c>
      <x:c r="H35" s="30" t="str">
        <x:v>Repository page/profile listing verified</x:v>
      </x:c>
      <x:c r="I35" s="30" t="str"/>
      <x:c r="J35" s="30" t="str">
        <x:v>Visual lab</x:v>
      </x:c>
      <x:c r="K35" s="36" t="str">
        <x:v>Flag forks/re-makes clearly; select only authored work.</x:v>
      </x:c>
    </x:row>
    <x:row r="36">
      <x:c r="A36" s="35" t="str">
        <x:v>GH-012</x:v>
      </x:c>
      <x:c r="B36" s="30" t="str">
        <x:v>GitHub</x:v>
      </x:c>
      <x:c r="C36" s="30" t="str">
        <x:v>marc-luna-portfolio</x:v>
      </x:c>
      <x:c r="D36" s="30" t="str">
        <x:v>Repository / TypeScript</x:v>
      </x:c>
      <x:c r="E36" s="49"/>
      <x:c r="F36" s="30" t="str">
        <x:v>https://github.com/jkidune/marc-luna-portfolio</x:v>
      </x:c>
      <x:c r="G36" s="30" t="str">
        <x:v>Portfolio Template</x:v>
      </x:c>
      <x:c r="H36" s="30" t="str">
        <x:v>Repository page/profile listing verified</x:v>
      </x:c>
      <x:c r="I36" s="30" t="str">
        <x:v>PT-003</x:v>
      </x:c>
      <x:c r="J36" s="30" t="str">
        <x:v>Featured candidate</x:v>
      </x:c>
      <x:c r="K36" s="36" t="str">
        <x:v>Flag forks/re-makes clearly; select only authored work.</x:v>
      </x:c>
    </x:row>
    <x:row r="37">
      <x:c r="A37" s="35" t="str">
        <x:v>GH-013</x:v>
      </x:c>
      <x:c r="B37" s="30" t="str">
        <x:v>GitHub</x:v>
      </x:c>
      <x:c r="C37" s="30" t="str">
        <x:v>framer-reverse-proxy</x:v>
      </x:c>
      <x:c r="D37" s="30" t="str">
        <x:v>Repository / TypeScript</x:v>
      </x:c>
      <x:c r="E37" s="49"/>
      <x:c r="F37" s="30" t="str">
        <x:v>https://github.com/jkidune/framer-reverse-proxy</x:v>
      </x:c>
      <x:c r="G37" s="30" t="str">
        <x:v>Fork: Framer caching/reverse-proxy tool</x:v>
      </x:c>
      <x:c r="H37" s="30" t="str">
        <x:v>Repository page/profile listing verified</x:v>
      </x:c>
      <x:c r="I37" s="30" t="str"/>
      <x:c r="J37" s="30" t="str">
        <x:v>Do not feature as authored work</x:v>
      </x:c>
      <x:c r="K37" s="36" t="str">
        <x:v>Flag forks/re-makes clearly; select only authored work.</x:v>
      </x:c>
    </x:row>
    <x:row r="38">
      <x:c r="A38" s="35" t="str">
        <x:v>GH-014</x:v>
      </x:c>
      <x:c r="B38" s="30" t="str">
        <x:v>GitHub</x:v>
      </x:c>
      <x:c r="C38" s="30" t="str">
        <x:v>creator-deal-hub</x:v>
      </x:c>
      <x:c r="D38" s="30" t="str">
        <x:v>Repository / HTML</x:v>
      </x:c>
      <x:c r="E38" s="49"/>
      <x:c r="F38" s="30" t="str">
        <x:v>https://github.com/jkidune/creator-deal-hub</x:v>
      </x:c>
      <x:c r="G38" s="30" t="str">
        <x:v>Creator/product repository</x:v>
      </x:c>
      <x:c r="H38" s="30" t="str">
        <x:v>Repository page/profile listing verified</x:v>
      </x:c>
      <x:c r="I38" s="30" t="str">
        <x:v>PT-016</x:v>
      </x:c>
      <x:c r="J38" s="30" t="str">
        <x:v>Product lab</x:v>
      </x:c>
      <x:c r="K38" s="36" t="str">
        <x:v>Flag forks/re-makes clearly; select only authored work.</x:v>
      </x:c>
    </x:row>
    <x:row r="39">
      <x:c r="A39" s="35" t="str">
        <x:v>GH-015</x:v>
      </x:c>
      <x:c r="B39" s="30" t="str">
        <x:v>GitHub</x:v>
      </x:c>
      <x:c r="C39" s="30" t="str">
        <x:v>openclaude</x:v>
      </x:c>
      <x:c r="D39" s="30" t="str">
        <x:v>Repository / TypeScript</x:v>
      </x:c>
      <x:c r="E39" s="49"/>
      <x:c r="F39" s="30" t="str">
        <x:v>https://github.com/jkidune/openclaude</x:v>
      </x:c>
      <x:c r="G39" s="30" t="str">
        <x:v>Fork: coding-agent CLI</x:v>
      </x:c>
      <x:c r="H39" s="30" t="str">
        <x:v>Repository page/profile listing verified</x:v>
      </x:c>
      <x:c r="I39" s="30" t="str"/>
      <x:c r="J39" s="30" t="str">
        <x:v>Do not feature as authored work</x:v>
      </x:c>
      <x:c r="K39" s="36" t="str">
        <x:v>Flag forks/re-makes clearly; select only authored work.</x:v>
      </x:c>
    </x:row>
    <x:row r="40">
      <x:c r="A40" s="35" t="str">
        <x:v>GH-016</x:v>
      </x:c>
      <x:c r="B40" s="30" t="str">
        <x:v>GitHub</x:v>
      </x:c>
      <x:c r="C40" s="30" t="str">
        <x:v>awesome-design-md</x:v>
      </x:c>
      <x:c r="D40" s="30" t="str">
        <x:v>Repository / HTML</x:v>
      </x:c>
      <x:c r="E40" s="49"/>
      <x:c r="F40" s="30" t="str">
        <x:v>https://github.com/jkidune/awesome-design-md</x:v>
      </x:c>
      <x:c r="G40" s="30" t="str">
        <x:v>Fork: design system collection</x:v>
      </x:c>
      <x:c r="H40" s="30" t="str">
        <x:v>Repository page/profile listing verified</x:v>
      </x:c>
      <x:c r="I40" s="30" t="str"/>
      <x:c r="J40" s="30" t="str">
        <x:v>Research/support</x:v>
      </x:c>
      <x:c r="K40" s="36" t="str">
        <x:v>Flag forks/re-makes clearly; select only authored work.</x:v>
      </x:c>
    </x:row>
    <x:row r="41">
      <x:c r="A41" s="35" t="str">
        <x:v>GH-017</x:v>
      </x:c>
      <x:c r="B41" s="30" t="str">
        <x:v>GitHub</x:v>
      </x:c>
      <x:c r="C41" s="30" t="str">
        <x:v>agency-agents</x:v>
      </x:c>
      <x:c r="D41" s="30" t="str">
        <x:v>Repository / Shell</x:v>
      </x:c>
      <x:c r="E41" s="49"/>
      <x:c r="F41" s="30" t="str">
        <x:v>https://github.com/jkidune/agency-agents</x:v>
      </x:c>
      <x:c r="G41" s="30" t="str">
        <x:v>Fork: AI agency tools</x:v>
      </x:c>
      <x:c r="H41" s="30" t="str">
        <x:v>Repository page/profile listing verified</x:v>
      </x:c>
      <x:c r="I41" s="30" t="str"/>
      <x:c r="J41" s="30" t="str">
        <x:v>Do not feature as authored work</x:v>
      </x:c>
      <x:c r="K41" s="36" t="str">
        <x:v>Flag forks/re-makes clearly; select only authored work.</x:v>
      </x:c>
    </x:row>
    <x:row r="42">
      <x:c r="A42" s="35" t="str">
        <x:v>GH-018</x:v>
      </x:c>
      <x:c r="B42" s="30" t="str">
        <x:v>GitHub</x:v>
      </x:c>
      <x:c r="C42" s="30" t="str">
        <x:v>businessos</x:v>
      </x:c>
      <x:c r="D42" s="30" t="str">
        <x:v>Repository / TypeScript</x:v>
      </x:c>
      <x:c r="E42" s="49"/>
      <x:c r="F42" s="30" t="str">
        <x:v>https://github.com/jkidune/businessos</x:v>
      </x:c>
      <x:c r="G42" s="30" t="str">
        <x:v>Repository title only; no public description extracted</x:v>
      </x:c>
      <x:c r="H42" s="30" t="str">
        <x:v>Repository page/profile listing verified</x:v>
      </x:c>
      <x:c r="I42" s="30" t="str"/>
      <x:c r="J42" s="30" t="str">
        <x:v>Review manually</x:v>
      </x:c>
      <x:c r="K42" s="36" t="str">
        <x:v>Flag forks/re-makes clearly; select only authored work.</x:v>
      </x:c>
    </x:row>
    <x:row r="43">
      <x:c r="A43" s="35" t="str">
        <x:v>GH-019</x:v>
      </x:c>
      <x:c r="B43" s="30" t="str">
        <x:v>GitHub</x:v>
      </x:c>
      <x:c r="C43" s="30" t="str">
        <x:v>Business-OS</x:v>
      </x:c>
      <x:c r="D43" s="30" t="str">
        <x:v>Repository / TypeScript</x:v>
      </x:c>
      <x:c r="E43" s="49"/>
      <x:c r="F43" s="30" t="str">
        <x:v>https://github.com/jkidune/Business-OS</x:v>
      </x:c>
      <x:c r="G43" s="30" t="str">
        <x:v>Repository for Replit Business OS</x:v>
      </x:c>
      <x:c r="H43" s="30" t="str">
        <x:v>Repository page/profile listing verified</x:v>
      </x:c>
      <x:c r="I43" s="30" t="str"/>
      <x:c r="J43" s="30" t="str">
        <x:v>Review manually</x:v>
      </x:c>
      <x:c r="K43" s="36" t="str">
        <x:v>Flag forks/re-makes clearly; select only authored work.</x:v>
      </x:c>
    </x:row>
    <x:row r="44">
      <x:c r="A44" s="35" t="str">
        <x:v>GH-020</x:v>
      </x:c>
      <x:c r="B44" s="30" t="str">
        <x:v>GitHub</x:v>
      </x:c>
      <x:c r="C44" s="30" t="str">
        <x:v>checkpoint-waitlist</x:v>
      </x:c>
      <x:c r="D44" s="30" t="str">
        <x:v>Repository / TypeScript</x:v>
      </x:c>
      <x:c r="E44" s="49"/>
      <x:c r="F44" s="30" t="str">
        <x:v>https://github.com/jkidune/checkpoint-waitlist</x:v>
      </x:c>
      <x:c r="G44" s="30" t="str">
        <x:v>Repository title only</x:v>
      </x:c>
      <x:c r="H44" s="30" t="str">
        <x:v>Repository page/profile listing verified</x:v>
      </x:c>
      <x:c r="I44" s="30" t="str"/>
      <x:c r="J44" s="30" t="str">
        <x:v>Supporting project</x:v>
      </x:c>
      <x:c r="K44" s="36" t="str">
        <x:v>Flag forks/re-makes clearly; select only authored work.</x:v>
      </x:c>
    </x:row>
    <x:row r="45">
      <x:c r="A45" s="35" t="str">
        <x:v>GH-021</x:v>
      </x:c>
      <x:c r="B45" s="30" t="str">
        <x:v>GitHub</x:v>
      </x:c>
      <x:c r="C45" s="30" t="str">
        <x:v>checkpoint-member-onboard</x:v>
      </x:c>
      <x:c r="D45" s="30" t="str">
        <x:v>Repository / CSS</x:v>
      </x:c>
      <x:c r="E45" s="49"/>
      <x:c r="F45" s="30" t="str">
        <x:v>https://github.com/jkidune/checkpoint-member-onboard</x:v>
      </x:c>
      <x:c r="G45" s="30" t="str">
        <x:v>Repository title only</x:v>
      </x:c>
      <x:c r="H45" s="30" t="str">
        <x:v>Repository page/profile listing verified</x:v>
      </x:c>
      <x:c r="I45" s="30" t="str"/>
      <x:c r="J45" s="30" t="str">
        <x:v>Supporting project</x:v>
      </x:c>
      <x:c r="K45" s="36" t="str">
        <x:v>Flag forks/re-makes clearly; select only authored work.</x:v>
      </x:c>
    </x:row>
    <x:row r="46">
      <x:c r="A46" s="35" t="str">
        <x:v>GH-022</x:v>
      </x:c>
      <x:c r="B46" s="30" t="str">
        <x:v>GitHub</x:v>
      </x:c>
      <x:c r="C46" s="30" t="str">
        <x:v>quizplatform</x:v>
      </x:c>
      <x:c r="D46" s="30" t="str">
        <x:v>Repository / TypeScript</x:v>
      </x:c>
      <x:c r="E46" s="49"/>
      <x:c r="F46" s="30" t="str">
        <x:v>https://github.com/jkidune/quizplatform</x:v>
      </x:c>
      <x:c r="G46" s="30" t="str">
        <x:v>Repository title only</x:v>
      </x:c>
      <x:c r="H46" s="30" t="str">
        <x:v>Repository page/profile listing verified</x:v>
      </x:c>
      <x:c r="I46" s="30" t="str"/>
      <x:c r="J46" s="30" t="str">
        <x:v>Review manually</x:v>
      </x:c>
      <x:c r="K46" s="36" t="str">
        <x:v>Flag forks/re-makes clearly; select only authored work.</x:v>
      </x:c>
    </x:row>
    <x:row r="47">
      <x:c r="A47" s="35" t="str">
        <x:v>GH-023</x:v>
      </x:c>
      <x:c r="B47" s="30" t="str">
        <x:v>GitHub</x:v>
      </x:c>
      <x:c r="C47" s="30" t="str">
        <x:v>agentoo</x:v>
      </x:c>
      <x:c r="D47" s="30" t="str">
        <x:v>Repository / TypeScript</x:v>
      </x:c>
      <x:c r="E47" s="49"/>
      <x:c r="F47" s="30" t="str">
        <x:v>https://github.com/jkidune/agentoo</x:v>
      </x:c>
      <x:c r="G47" s="30" t="str">
        <x:v>Remake of Framer website</x:v>
      </x:c>
      <x:c r="H47" s="30" t="str">
        <x:v>Repository page/profile listing verified</x:v>
      </x:c>
      <x:c r="I47" s="30" t="str"/>
      <x:c r="J47" s="30" t="str">
        <x:v>Visual lab / clearly label remake</x:v>
      </x:c>
      <x:c r="K47" s="36" t="str">
        <x:v>Flag forks/re-makes clearly; select only authored work.</x:v>
      </x:c>
    </x:row>
    <x:row r="48">
      <x:c r="A48" s="35" t="str">
        <x:v>GH-024</x:v>
      </x:c>
      <x:c r="B48" s="30" t="str">
        <x:v>GitHub</x:v>
      </x:c>
      <x:c r="C48" s="30" t="str">
        <x:v>verdant-earth</x:v>
      </x:c>
      <x:c r="D48" s="30" t="str">
        <x:v>Repository / TypeScript</x:v>
      </x:c>
      <x:c r="E48" s="49"/>
      <x:c r="F48" s="30" t="str">
        <x:v>https://github.com/jkidune/verdant-earth</x:v>
      </x:c>
      <x:c r="G48" s="30" t="str">
        <x:v>NGO Website</x:v>
      </x:c>
      <x:c r="H48" s="30" t="str">
        <x:v>Repository page/profile listing verified</x:v>
      </x:c>
      <x:c r="I48" s="30" t="str">
        <x:v>PT-019</x:v>
      </x:c>
      <x:c r="J48" s="30" t="str">
        <x:v>Work grid candidate</x:v>
      </x:c>
      <x:c r="K48" s="36" t="str">
        <x:v>Flag forks/re-makes clearly; select only authored work.</x:v>
      </x:c>
    </x:row>
    <x:row r="49">
      <x:c r="A49" s="35" t="str">
        <x:v>GH-025</x:v>
      </x:c>
      <x:c r="B49" s="30" t="str">
        <x:v>GitHub</x:v>
      </x:c>
      <x:c r="C49" s="30" t="str">
        <x:v>policy-brief-lm</x:v>
      </x:c>
      <x:c r="D49" s="30" t="str">
        <x:v>Repository / TypeScript</x:v>
      </x:c>
      <x:c r="E49" s="49"/>
      <x:c r="F49" s="30" t="str">
        <x:v>https://github.com/jkidune/policy-brief-lm</x:v>
      </x:c>
      <x:c r="G49" s="30" t="str">
        <x:v>Learning platform for communicators, PR and marketers</x:v>
      </x:c>
      <x:c r="H49" s="30" t="str">
        <x:v>Repository page/profile listing verified</x:v>
      </x:c>
      <x:c r="I49" s="30" t="str">
        <x:v>PT-018</x:v>
      </x:c>
      <x:c r="J49" s="30" t="str">
        <x:v>Product lab</x:v>
      </x:c>
      <x:c r="K49" s="36" t="str">
        <x:v>Flag forks/re-makes clearly; select only authored work.</x:v>
      </x:c>
    </x:row>
    <x:row r="50">
      <x:c r="A50" s="35" t="str">
        <x:v>GH-026</x:v>
      </x:c>
      <x:c r="B50" s="30" t="str">
        <x:v>GitHub</x:v>
      </x:c>
      <x:c r="C50" s="30" t="str">
        <x:v>jkidune</x:v>
      </x:c>
      <x:c r="D50" s="30" t="str">
        <x:v>Repository / HTML</x:v>
      </x:c>
      <x:c r="E50" s="49"/>
      <x:c r="F50" s="30" t="str">
        <x:v>https://github.com/jkidune/jkidune</x:v>
      </x:c>
      <x:c r="G50" s="30" t="str">
        <x:v>Personal profile README</x:v>
      </x:c>
      <x:c r="H50" s="30" t="str">
        <x:v>Repository page/profile listing verified</x:v>
      </x:c>
      <x:c r="I50" s="30" t="str"/>
      <x:c r="J50" s="30" t="str">
        <x:v>Profile source</x:v>
      </x:c>
      <x:c r="K50" s="36" t="str">
        <x:v>Flag forks/re-makes clearly; select only authored work.</x:v>
      </x:c>
    </x:row>
    <x:row r="51">
      <x:c r="A51" s="35" t="str">
        <x:v>GH-027</x:v>
      </x:c>
      <x:c r="B51" s="30" t="str">
        <x:v>GitHub</x:v>
      </x:c>
      <x:c r="C51" s="30" t="str">
        <x:v>writermatch</x:v>
      </x:c>
      <x:c r="D51" s="30" t="str">
        <x:v>Repository / TypeScript</x:v>
      </x:c>
      <x:c r="E51" s="49"/>
      <x:c r="F51" s="30" t="str">
        <x:v>https://github.com/jkidune/writermatch</x:v>
      </x:c>
      <x:c r="G51" s="30" t="str">
        <x:v>Personal project for writers</x:v>
      </x:c>
      <x:c r="H51" s="30" t="str">
        <x:v>Repository page/profile listing verified</x:v>
      </x:c>
      <x:c r="I51" s="30" t="str">
        <x:v>PT-017</x:v>
      </x:c>
      <x:c r="J51" s="30" t="str">
        <x:v>Product lab</x:v>
      </x:c>
      <x:c r="K51" s="36" t="str">
        <x:v>Flag forks/re-makes clearly; select only authored work.</x:v>
      </x:c>
    </x:row>
    <x:row r="52">
      <x:c r="A52" s="35" t="str">
        <x:v>GH-028</x:v>
      </x:c>
      <x:c r="B52" s="30" t="str">
        <x:v>GitHub</x:v>
      </x:c>
      <x:c r="C52" s="30" t="str">
        <x:v>todoapp</x:v>
      </x:c>
      <x:c r="D52" s="30" t="str">
        <x:v>Repository / JavaScript</x:v>
      </x:c>
      <x:c r="E52" s="49"/>
      <x:c r="F52" s="30" t="str">
        <x:v>https://github.com/jkidune/todoapp</x:v>
      </x:c>
      <x:c r="G52" s="30" t="str">
        <x:v>Repository title only</x:v>
      </x:c>
      <x:c r="H52" s="30" t="str">
        <x:v>Repository page/profile listing verified</x:v>
      </x:c>
      <x:c r="I52" s="30" t="str"/>
      <x:c r="J52" s="30" t="str">
        <x:v>Archive</x:v>
      </x:c>
      <x:c r="K52" s="36" t="str">
        <x:v>Flag forks/re-makes clearly; select only authored work.</x:v>
      </x:c>
    </x:row>
    <x:row r="53">
      <x:c r="A53" s="35" t="str">
        <x:v>GH-029</x:v>
      </x:c>
      <x:c r="B53" s="30" t="str">
        <x:v>GitHub</x:v>
      </x:c>
      <x:c r="C53" s="30" t="str">
        <x:v>nasa-apod</x:v>
      </x:c>
      <x:c r="D53" s="30" t="str">
        <x:v>Repository / JavaScript</x:v>
      </x:c>
      <x:c r="E53" s="49"/>
      <x:c r="F53" s="30" t="str">
        <x:v>https://github.com/jkidune/nasa-apod</x:v>
      </x:c>
      <x:c r="G53" s="30" t="str">
        <x:v>Repository title only</x:v>
      </x:c>
      <x:c r="H53" s="30" t="str">
        <x:v>Repository page/profile listing verified</x:v>
      </x:c>
      <x:c r="I53" s="30" t="str"/>
      <x:c r="J53" s="30" t="str">
        <x:v>Learning / archive</x:v>
      </x:c>
      <x:c r="K53" s="36" t="str">
        <x:v>Flag forks/re-makes clearly; select only authored work.</x:v>
      </x:c>
    </x:row>
    <x:row r="54">
      <x:c r="A54" s="35" t="str">
        <x:v>GH-030</x:v>
      </x:c>
      <x:c r="B54" s="30" t="str">
        <x:v>GitHub</x:v>
      </x:c>
      <x:c r="C54" s="30" t="str">
        <x:v>Tech-ideas</x:v>
      </x:c>
      <x:c r="D54" s="30" t="str">
        <x:v>Repository / JavaScript</x:v>
      </x:c>
      <x:c r="E54" s="49"/>
      <x:c r="F54" s="30" t="str">
        <x:v>https://github.com/jkidune/Tech-ideas</x:v>
      </x:c>
      <x:c r="G54" s="30" t="str">
        <x:v>Repository title only</x:v>
      </x:c>
      <x:c r="H54" s="30" t="str">
        <x:v>Repository page/profile listing verified</x:v>
      </x:c>
      <x:c r="I54" s="30" t="str"/>
      <x:c r="J54" s="30" t="str">
        <x:v>Archive</x:v>
      </x:c>
      <x:c r="K54" s="36" t="str">
        <x:v>Flag forks/re-makes clearly; select only authored work.</x:v>
      </x:c>
    </x:row>
    <x:row r="55">
      <x:c r="A55" s="35" t="str">
        <x:v>GH-031</x:v>
      </x:c>
      <x:c r="B55" s="30" t="str">
        <x:v>GitHub</x:v>
      </x:c>
      <x:c r="C55" s="30" t="str">
        <x:v>PetShield-PWA-UI-Design</x:v>
      </x:c>
      <x:c r="D55" s="30" t="str">
        <x:v>Repository / C</x:v>
      </x:c>
      <x:c r="E55" s="49"/>
      <x:c r="F55" s="30" t="str">
        <x:v>https://github.com/jkidune/PetShield-PWA-UI-Design</x:v>
      </x:c>
      <x:c r="G55" s="30" t="str">
        <x:v>Repository title only</x:v>
      </x:c>
      <x:c r="H55" s="30" t="str">
        <x:v>Repository page/profile listing verified</x:v>
      </x:c>
      <x:c r="I55" s="30" t="str"/>
      <x:c r="J55" s="30" t="str">
        <x:v>Review manually</x:v>
      </x:c>
      <x:c r="K55" s="36" t="str">
        <x:v>Flag forks/re-makes clearly; select only authored work.</x:v>
      </x:c>
    </x:row>
    <x:row r="56">
      <x:c r="A56" s="35" t="str">
        <x:v>GH-032</x:v>
      </x:c>
      <x:c r="B56" s="30" t="str">
        <x:v>GitHub</x:v>
      </x:c>
      <x:c r="C56" s="30" t="str">
        <x:v>Instagram-AI-Agent</x:v>
      </x:c>
      <x:c r="D56" s="30" t="str">
        <x:v>Repository / TypeScript</x:v>
      </x:c>
      <x:c r="E56" s="49"/>
      <x:c r="F56" s="30" t="str">
        <x:v>https://github.com/jkidune/Instagram-AI-Agent</x:v>
      </x:c>
      <x:c r="G56" s="30" t="str">
        <x:v>Fork: Instagram AI Agent</x:v>
      </x:c>
      <x:c r="H56" s="30" t="str">
        <x:v>Repository page/profile listing verified</x:v>
      </x:c>
      <x:c r="I56" s="30" t="str"/>
      <x:c r="J56" s="30" t="str">
        <x:v>Do not feature as authored work</x:v>
      </x:c>
      <x:c r="K56" s="36" t="str">
        <x:v>Flag forks/re-makes clearly; select only authored work.</x:v>
      </x:c>
    </x:row>
    <x:row r="57">
      <x:c r="A57" s="35" t="str">
        <x:v>GH-033</x:v>
      </x:c>
      <x:c r="B57" s="30" t="str">
        <x:v>GitHub</x:v>
      </x:c>
      <x:c r="C57" s="30" t="str">
        <x:v>portfolio-blog-sanity</x:v>
      </x:c>
      <x:c r="D57" s="30" t="str">
        <x:v>Repository / TypeScript</x:v>
      </x:c>
      <x:c r="E57" s="49"/>
      <x:c r="F57" s="30" t="str">
        <x:v>https://github.com/jkidune/portfolio-blog-sanity</x:v>
      </x:c>
      <x:c r="G57" s="30" t="str">
        <x:v>Fork: portfolio/blog template</x:v>
      </x:c>
      <x:c r="H57" s="30" t="str">
        <x:v>Repository page/profile listing verified</x:v>
      </x:c>
      <x:c r="I57" s="30" t="str"/>
      <x:c r="J57" s="30" t="str">
        <x:v>Do not feature as authored work</x:v>
      </x:c>
      <x:c r="K57" s="36" t="str">
        <x:v>Flag forks/re-makes clearly; select only authored work.</x:v>
      </x:c>
    </x:row>
    <x:row r="58">
      <x:c r="A58" s="35" t="str">
        <x:v>GH-034</x:v>
      </x:c>
      <x:c r="B58" s="30" t="str">
        <x:v>GitHub</x:v>
      </x:c>
      <x:c r="C58" s="30" t="str">
        <x:v>Portfolio</x:v>
      </x:c>
      <x:c r="D58" s="30" t="str">
        <x:v>Repository / Vue</x:v>
      </x:c>
      <x:c r="E58" s="49"/>
      <x:c r="F58" s="30" t="str">
        <x:v>https://github.com/jkidune/Portfolio</x:v>
      </x:c>
      <x:c r="G58" s="30" t="str">
        <x:v>Repository title only</x:v>
      </x:c>
      <x:c r="H58" s="30" t="str">
        <x:v>Repository page/profile listing verified</x:v>
      </x:c>
      <x:c r="I58" s="30" t="str"/>
      <x:c r="J58" s="30" t="str">
        <x:v>Archive</x:v>
      </x:c>
      <x:c r="K58" s="36" t="str">
        <x:v>Flag forks/re-makes clearly; select only authored work.</x:v>
      </x:c>
    </x:row>
    <x:row r="59">
      <x:c r="A59" s="35" t="str">
        <x:v>GH-035</x:v>
      </x:c>
      <x:c r="B59" s="30" t="str">
        <x:v>GitHub</x:v>
      </x:c>
      <x:c r="C59" s="30" t="str">
        <x:v>nextjs-project</x:v>
      </x:c>
      <x:c r="D59" s="30" t="str">
        <x:v>Repository / JavaScript</x:v>
      </x:c>
      <x:c r="E59" s="49"/>
      <x:c r="F59" s="30" t="str">
        <x:v>https://github.com/jkidune/nextjs-project</x:v>
      </x:c>
      <x:c r="G59" s="30" t="str">
        <x:v>Repository title only</x:v>
      </x:c>
      <x:c r="H59" s="30" t="str">
        <x:v>Repository page/profile listing verified</x:v>
      </x:c>
      <x:c r="I59" s="30" t="str"/>
      <x:c r="J59" s="30" t="str">
        <x:v>Archive</x:v>
      </x:c>
      <x:c r="K59" s="36" t="str">
        <x:v>Flag forks/re-makes clearly; select only authored work.</x:v>
      </x:c>
    </x:row>
    <x:row r="60">
      <x:c r="A60" s="35" t="str">
        <x:v>GH-036</x:v>
      </x:c>
      <x:c r="B60" s="30" t="str">
        <x:v>GitHub</x:v>
      </x:c>
      <x:c r="C60" s="30" t="str">
        <x:v>sanity-gatsby-portfolio</x:v>
      </x:c>
      <x:c r="D60" s="30" t="str">
        <x:v>Repository / JavaScript</x:v>
      </x:c>
      <x:c r="E60" s="49"/>
      <x:c r="F60" s="30" t="str">
        <x:v>https://github.com/jkidune/sanity-gatsby-portfolio</x:v>
      </x:c>
      <x:c r="G60" s="30" t="str">
        <x:v>Portfolio with Gatsby</x:v>
      </x:c>
      <x:c r="H60" s="30" t="str">
        <x:v>Repository page/profile listing verified</x:v>
      </x:c>
      <x:c r="I60" s="30" t="str"/>
      <x:c r="J60" s="30" t="str">
        <x:v>Historic / archive</x:v>
      </x:c>
      <x:c r="K60" s="36" t="str">
        <x:v>Flag forks/re-makes clearly; select only authored work.</x:v>
      </x:c>
    </x:row>
    <x:row r="61">
      <x:c r="A61" s="35" t="str">
        <x:v>GH-037</x:v>
      </x:c>
      <x:c r="B61" s="30" t="str">
        <x:v>GitHub</x:v>
      </x:c>
      <x:c r="C61" s="30" t="str">
        <x:v>impact-investment2</x:v>
      </x:c>
      <x:c r="D61" s="30" t="str">
        <x:v>Repository / JavaScript</x:v>
      </x:c>
      <x:c r="E61" s="49"/>
      <x:c r="F61" s="30" t="str">
        <x:v>https://github.com/jkidune/impact-investment2</x:v>
      </x:c>
      <x:c r="G61" s="30" t="str">
        <x:v>Repository title only</x:v>
      </x:c>
      <x:c r="H61" s="30" t="str">
        <x:v>Repository page/profile listing verified</x:v>
      </x:c>
      <x:c r="I61" s="30" t="str"/>
      <x:c r="J61" s="30" t="str">
        <x:v>Historic / archive</x:v>
      </x:c>
      <x:c r="K61" s="36" t="str">
        <x:v>Flag forks/re-makes clearly; select only authored work.</x:v>
      </x:c>
    </x:row>
    <x:row r="62">
      <x:c r="A62" s="35" t="str">
        <x:v>GH-038</x:v>
      </x:c>
      <x:c r="B62" s="30" t="str">
        <x:v>GitHub</x:v>
      </x:c>
      <x:c r="C62" s="30" t="str">
        <x:v>impact-investment</x:v>
      </x:c>
      <x:c r="D62" s="30" t="str">
        <x:v>Repository / CSS</x:v>
      </x:c>
      <x:c r="E62" s="49"/>
      <x:c r="F62" s="30" t="str">
        <x:v>https://github.com/jkidune/impact-investment</x:v>
      </x:c>
      <x:c r="G62" s="30" t="str">
        <x:v>Simple website for forex company</x:v>
      </x:c>
      <x:c r="H62" s="30" t="str">
        <x:v>Repository page/profile listing verified</x:v>
      </x:c>
      <x:c r="I62" s="30" t="str"/>
      <x:c r="J62" s="30" t="str">
        <x:v>Historic / archive</x:v>
      </x:c>
      <x:c r="K62" s="36" t="str">
        <x:v>Flag forks/re-makes clearly; select only authored work.</x:v>
      </x:c>
    </x:row>
    <x:row r="63">
      <x:c r="A63" s="35" t="str">
        <x:v>MD-001</x:v>
      </x:c>
      <x:c r="B63" s="30" t="str">
        <x:v>Medium</x:v>
      </x:c>
      <x:c r="C63" s="30" t="str">
        <x:v>Automating Workflows from Community to Ministries with AI as Drivers</x:v>
      </x:c>
      <x:c r="D63" s="30" t="str">
        <x:v>Article</x:v>
      </x:c>
      <x:c r="E63" s="49" t="n">
        <x:v>46058</x:v>
      </x:c>
      <x:c r="F63" s="30" t="str">
        <x:v>https://medium.com/%40kidunejoseph91/digital-innovation-has-quietly-rewritten-the-rules-of-daily-life-like-how-we-communicate-how-we-2de02920c4f4</x:v>
      </x:c>
      <x:c r="G63" s="30" t="str">
        <x:v>Published Medium article on AI/digital transformation.</x:v>
      </x:c>
      <x:c r="H63" s="30" t="str">
        <x:v>Direct article page verified</x:v>
      </x:c>
      <x:c r="I63" s="30" t="str">
        <x:v>ED-001</x:v>
      </x:c>
      <x:c r="J63" s="30" t="str">
        <x:v>Ideas / archive</x:v>
      </x:c>
      <x:c r="K63" s="36" t="str">
        <x:v>Use selected articles as editorial proof, not as full case studies.</x:v>
      </x:c>
    </x:row>
    <x:row r="64">
      <x:c r="A64" s="35" t="str">
        <x:v>MD-002</x:v>
      </x:c>
      <x:c r="B64" s="30" t="str">
        <x:v>Medium</x:v>
      </x:c>
      <x:c r="C64" s="30" t="str">
        <x:v>50 Years of the Institute of Adult Education: A Nation’s Promise, Renewed</x:v>
      </x:c>
      <x:c r="D64" s="30" t="str">
        <x:v>Article</x:v>
      </x:c>
      <x:c r="E64" s="49" t="n">
        <x:v>45929</x:v>
      </x:c>
      <x:c r="F64" s="30" t="str">
        <x:v>https://medium.com/%40kidunejoseph91/50-years-of-the-institute-of-adult-education-a-nations-promise-renewed-22d779aa3f2b</x:v>
      </x:c>
      <x:c r="G64" s="30" t="str">
        <x:v>Published Medium article on Adult education/institutional storytelling.</x:v>
      </x:c>
      <x:c r="H64" s="30" t="str">
        <x:v>Direct article page verified</x:v>
      </x:c>
      <x:c r="I64" s="30" t="str">
        <x:v>ED-002</x:v>
      </x:c>
      <x:c r="J64" s="30" t="str">
        <x:v>Ideas / archive</x:v>
      </x:c>
      <x:c r="K64" s="36" t="str">
        <x:v>Use selected articles as editorial proof, not as full case studies.</x:v>
      </x:c>
    </x:row>
    <x:row r="65">
      <x:c r="A65" s="35" t="str">
        <x:v>MD-003</x:v>
      </x:c>
      <x:c r="B65" s="30" t="str">
        <x:v>Medium</x:v>
      </x:c>
      <x:c r="C65" s="30" t="str">
        <x:v>How ChatGPT-4o’s Image Generator Is a Game-Changer for Tanzania’s Creative and Marketing Industries</x:v>
      </x:c>
      <x:c r="D65" s="30" t="str">
        <x:v>Article</x:v>
      </x:c>
      <x:c r="E65" s="49" t="n">
        <x:v>45745</x:v>
      </x:c>
      <x:c r="F65" s="30" t="str">
        <x:v>https://medium.com/%40kidunejoseph91/how-chatgpt-4os-image-generator-is-a-game-changer-for-tanzania-s-creative-and-marketing-industries-b4aae3486afc</x:v>
      </x:c>
      <x:c r="G65" s="30" t="str">
        <x:v>Published Medium article on AI/creative industries.</x:v>
      </x:c>
      <x:c r="H65" s="30" t="str">
        <x:v>Direct article page verified</x:v>
      </x:c>
      <x:c r="I65" s="30" t="str">
        <x:v>ED-003</x:v>
      </x:c>
      <x:c r="J65" s="30" t="str">
        <x:v>Ideas / archive</x:v>
      </x:c>
      <x:c r="K65" s="36" t="str">
        <x:v>Use selected articles as editorial proof, not as full case studies.</x:v>
      </x:c>
    </x:row>
    <x:row r="66">
      <x:c r="A66" s="35" t="str">
        <x:v>MD-004</x:v>
      </x:c>
      <x:c r="B66" s="30" t="str">
        <x:v>Medium</x:v>
      </x:c>
      <x:c r="C66" s="30" t="str">
        <x:v>How can communication experts incorporate AI into their daily work?</x:v>
      </x:c>
      <x:c r="D66" s="30" t="str">
        <x:v>Article</x:v>
      </x:c>
      <x:c r="E66" s="49" t="n">
        <x:v>45702</x:v>
      </x:c>
      <x:c r="F66" s="30" t="str">
        <x:v>https://medium.com/%40kidunejoseph91/how-can-communication-experts-incorporate-ai-into-their-daily-work-d2b66cc4183b</x:v>
      </x:c>
      <x:c r="G66" s="30" t="str">
        <x:v>Published Medium article on AI/communications.</x:v>
      </x:c>
      <x:c r="H66" s="30" t="str">
        <x:v>Direct article page verified</x:v>
      </x:c>
      <x:c r="I66" s="30" t="str">
        <x:v>ED-004</x:v>
      </x:c>
      <x:c r="J66" s="30" t="str">
        <x:v>Ideas / archive</x:v>
      </x:c>
      <x:c r="K66" s="36" t="str">
        <x:v>Use selected articles as editorial proof, not as full case studies.</x:v>
      </x:c>
    </x:row>
    <x:row r="67">
      <x:c r="A67" s="35" t="str">
        <x:v>MD-005</x:v>
      </x:c>
      <x:c r="B67" s="30" t="str">
        <x:v>Medium</x:v>
      </x:c>
      <x:c r="C67" s="30" t="str">
        <x:v>How can we use the MOJA Platform in Tanzania?</x:v>
      </x:c>
      <x:c r="D67" s="30" t="str">
        <x:v>Article</x:v>
      </x:c>
      <x:c r="E67" s="49" t="n">
        <x:v>45579</x:v>
      </x:c>
      <x:c r="F67" s="30" t="str">
        <x:v>https://medium.com/%40kidunejoseph91/how-can-we-use-the-moja-platform-in-tanzania-02a064e14daf</x:v>
      </x:c>
      <x:c r="G67" s="30" t="str">
        <x:v>Published Medium article on Digital learning.</x:v>
      </x:c>
      <x:c r="H67" s="30" t="str">
        <x:v>Direct article page verified</x:v>
      </x:c>
      <x:c r="I67" s="30" t="str">
        <x:v>ED-005</x:v>
      </x:c>
      <x:c r="J67" s="30" t="str">
        <x:v>Ideas / archive</x:v>
      </x:c>
      <x:c r="K67" s="36" t="str">
        <x:v>Use selected articles as editorial proof, not as full case studies.</x:v>
      </x:c>
    </x:row>
    <x:row r="68">
      <x:c r="A68" s="35" t="str">
        <x:v>MD-006</x:v>
      </x:c>
      <x:c r="B68" s="30" t="str">
        <x:v>Medium</x:v>
      </x:c>
      <x:c r="C68" s="30" t="str">
        <x:v>How the Community Learning Centre is helping adult learners achieve Sustainable Success</x:v>
      </x:c>
      <x:c r="D68" s="30" t="str">
        <x:v>Article</x:v>
      </x:c>
      <x:c r="E68" s="49" t="n">
        <x:v>45454</x:v>
      </x:c>
      <x:c r="F68" s="30" t="str">
        <x:v>https://medium.com/%40kidunejoseph91/how-the-community-learning-centre-is-helping-adult-learners-achieve-sustainable-success-a681f3a748c0</x:v>
      </x:c>
      <x:c r="G68" s="30" t="str">
        <x:v>Published Medium article on Impact storytelling.</x:v>
      </x:c>
      <x:c r="H68" s="30" t="str">
        <x:v>Direct article page verified</x:v>
      </x:c>
      <x:c r="I68" s="30" t="str">
        <x:v>ED-006</x:v>
      </x:c>
      <x:c r="J68" s="30" t="str">
        <x:v>Ideas / archive</x:v>
      </x:c>
      <x:c r="K68" s="36" t="str">
        <x:v>Use selected articles as editorial proof, not as full case studies.</x:v>
      </x:c>
    </x:row>
    <x:row r="69">
      <x:c r="A69" s="35" t="str">
        <x:v>MD-007</x:v>
      </x:c>
      <x:c r="B69" s="30" t="str">
        <x:v>Medium</x:v>
      </x:c>
      <x:c r="C69" s="30" t="str">
        <x:v>Cardamom Farming: The Green Gold of the Tropics</x:v>
      </x:c>
      <x:c r="D69" s="30" t="str">
        <x:v>Article</x:v>
      </x:c>
      <x:c r="E69" s="49" t="n">
        <x:v>45314</x:v>
      </x:c>
      <x:c r="F69" s="30" t="str">
        <x:v>https://medium.com/%40kidunejoseph91/cardamom-farming-the-green-gold-of-the-tropics-7ccd74e5fd43</x:v>
      </x:c>
      <x:c r="G69" s="30" t="str">
        <x:v>Published Medium article on Agriculture storytelling.</x:v>
      </x:c>
      <x:c r="H69" s="30" t="str">
        <x:v>Direct article page verified</x:v>
      </x:c>
      <x:c r="I69" s="30" t="str">
        <x:v>ED-007</x:v>
      </x:c>
      <x:c r="J69" s="30" t="str">
        <x:v>Ideas / archive</x:v>
      </x:c>
      <x:c r="K69" s="36" t="str">
        <x:v>Use selected articles as editorial proof, not as full case studies.</x:v>
      </x:c>
    </x:row>
    <x:row r="70">
      <x:c r="A70" s="35" t="str">
        <x:v>MD-008</x:v>
      </x:c>
      <x:c r="B70" s="30" t="str">
        <x:v>Medium</x:v>
      </x:c>
      <x:c r="C70" s="30" t="str">
        <x:v>From Hobby to Passion: Tanzanian UI/UX Designer Overcomes Challenges to Pursue Passion</x:v>
      </x:c>
      <x:c r="D70" s="30" t="str">
        <x:v>Article</x:v>
      </x:c>
      <x:c r="E70" s="49" t="n">
        <x:v>45020</x:v>
      </x:c>
      <x:c r="F70" s="30" t="str">
        <x:v>https://medium.com/%40kidunejoseph91/from-hobby-to-passion-tanzanian-ui-ux-designer-overcomes-challenges-to-pursue-passion-a0751de6a6ea</x:v>
      </x:c>
      <x:c r="G70" s="30" t="str">
        <x:v>Published Medium article on Career/UIUX.</x:v>
      </x:c>
      <x:c r="H70" s="30" t="str">
        <x:v>Direct article page verified</x:v>
      </x:c>
      <x:c r="I70" s="30" t="str">
        <x:v>ED-008</x:v>
      </x:c>
      <x:c r="J70" s="30" t="str">
        <x:v>Ideas / archive</x:v>
      </x:c>
      <x:c r="K70" s="36" t="str">
        <x:v>Use selected articles as editorial proof, not as full case studies.</x:v>
      </x:c>
    </x:row>
    <x:row r="71">
      <x:c r="A71" s="35" t="str">
        <x:v>MD-009</x:v>
      </x:c>
      <x:c r="B71" s="30" t="str">
        <x:v>Medium</x:v>
      </x:c>
      <x:c r="C71" s="30" t="str">
        <x:v>AI in Business: A Beginner’s Guide to Boost Your Income and Growth</x:v>
      </x:c>
      <x:c r="D71" s="30" t="str">
        <x:v>Article</x:v>
      </x:c>
      <x:c r="E71" s="49" t="n">
        <x:v>44978</x:v>
      </x:c>
      <x:c r="F71" s="30" t="str">
        <x:v>https://medium.com/%40kidunejoseph91/ai-in-business-a-beginners-guide-to-boost-your-income-and-growth-6bc90b3c6220</x:v>
      </x:c>
      <x:c r="G71" s="30" t="str">
        <x:v>Published Medium article on AI/business.</x:v>
      </x:c>
      <x:c r="H71" s="30" t="str">
        <x:v>Direct article page verified</x:v>
      </x:c>
      <x:c r="I71" s="30" t="str">
        <x:v>ED-009</x:v>
      </x:c>
      <x:c r="J71" s="30" t="str">
        <x:v>Ideas / archive</x:v>
      </x:c>
      <x:c r="K71" s="36" t="str">
        <x:v>Use selected articles as editorial proof, not as full case studies.</x:v>
      </x:c>
    </x:row>
    <x:row r="72">
      <x:c r="A72" s="35" t="str">
        <x:v>MD-010</x:v>
      </x:c>
      <x:c r="B72" s="30" t="str">
        <x:v>Medium</x:v>
      </x:c>
      <x:c r="C72" s="30" t="str">
        <x:v>Young women striving in Agriculture &amp; Business</x:v>
      </x:c>
      <x:c r="D72" s="30" t="str">
        <x:v>Article</x:v>
      </x:c>
      <x:c r="E72" s="49" t="n">
        <x:v>44777</x:v>
      </x:c>
      <x:c r="F72" s="30" t="str">
        <x:v>https://medium.com/%40kidunejoseph91/young-women-striving-in-agriculture-business-3464f0f4060d</x:v>
      </x:c>
      <x:c r="G72" s="30" t="str">
        <x:v>Published Medium article on Development/agriculture.</x:v>
      </x:c>
      <x:c r="H72" s="30" t="str">
        <x:v>Direct article page verified</x:v>
      </x:c>
      <x:c r="I72" s="30" t="str">
        <x:v>ED-010</x:v>
      </x:c>
      <x:c r="J72" s="30" t="str">
        <x:v>Ideas / archive</x:v>
      </x:c>
      <x:c r="K72" s="36" t="str">
        <x:v>Use selected articles as editorial proof, not as full case studies.</x:v>
      </x:c>
    </x:row>
    <x:row r="73">
      <x:c r="A73" s="37" t="str">
        <x:v>VM-001</x:v>
      </x:c>
      <x:c r="B73" s="38" t="str">
        <x:v>Vimeo</x:v>
      </x:c>
      <x:c r="C73" s="38" t="str">
        <x:v>Joseph Masonda — Director of Photography</x:v>
      </x:c>
      <x:c r="D73" s="38" t="str">
        <x:v>Video profile</x:v>
      </x:c>
      <x:c r="E73" s="50"/>
      <x:c r="F73" s="38" t="str">
        <x:v>https://vimeo.com/user68688471?fl=pp&amp;fe=sh</x:v>
      </x:c>
      <x:c r="G73" s="38" t="str">
        <x:v>Profile title identifies a Director of Photography portfolio; individual videos not extracted.</x:v>
      </x:c>
      <x:c r="H73" s="38" t="str">
        <x:v>Profile verified; titles need manual review</x:v>
      </x:c>
      <x:c r="I73" s="38" t="str">
        <x:v>PT-024</x:v>
      </x:c>
      <x:c r="J73" s="38" t="str">
        <x:v>Video reel candidate</x:v>
      </x:c>
      <x:c r="K73" s="39" t="str">
        <x:v>Open profile and curate three project-level records manually.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64438fc0fe054a21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6" hidden="0" customWidth="1"/>
    <x:col min="3" max="3" width="42" hidden="0" customWidth="1"/>
    <x:col min="4" max="4" width="42" hidden="0" customWidth="1"/>
  </x:cols>
  <x:sheetData>
    <x:row r="1">
      <x:c r="A1" s="5" t="str">
        <x:v>Portfolio Tracker Definitions</x:v>
      </x:c>
      <x:c r="B1" s="5"/>
      <x:c r="C1" s="5"/>
      <x:c r="D1" s="5"/>
    </x:row>
    <x:row r="3">
      <x:c r="A3" s="22" t="str">
        <x:v>Field</x:v>
      </x:c>
      <x:c r="B3" s="22" t="str">
        <x:v>Meaning</x:v>
      </x:c>
      <x:c r="C3" s="22" t="str">
        <x:v>Use It When</x:v>
      </x:c>
      <x:c r="D3" s="22" t="str">
        <x:v>Example</x:v>
      </x:c>
    </x:row>
    <x:row r="4">
      <x:c r="A4" s="66" t="str">
        <x:v>A — Featured case study</x:v>
      </x:c>
      <x:c r="B4" s="67" t="str">
        <x:v>One of the first five to eight pieces visitors should see.</x:v>
      </x:c>
      <x:c r="C4" s="67" t="str">
        <x:v>It has visual quality, a clear role, strategic narrative, and enough evidence to explain.</x:v>
      </x:c>
      <x:c r="D4" s="68" t="str">
        <x:v>AfrONet; MARCA LUNA; MedicoCare.</x:v>
      </x:c>
    </x:row>
    <x:row r="5">
      <x:c r="A5" s="69" t="str">
        <x:v>B — Work grid</x:v>
      </x:c>
      <x:c r="B5" s="28" t="str">
        <x:v>A strong project card but not necessarily a long story.</x:v>
      </x:c>
      <x:c r="C5" s="28" t="str">
        <x:v>It supports your range or complements a primary case study.</x:v>
      </x:c>
      <x:c r="D5" s="70" t="str">
        <x:v>Solura; Present Day Farms.</x:v>
      </x:c>
    </x:row>
    <x:row r="6">
      <x:c r="A6" s="69" t="str">
        <x:v>C — Archive / support</x:v>
      </x:c>
      <x:c r="B6" s="28" t="str">
        <x:v>Useful proof or exploration, but it should not compete with high-value work.</x:v>
      </x:c>
      <x:c r="C6" s="28" t="str">
        <x:v>It lacks evidence, overlaps with a better project, is a fork, or is experimental.</x:v>
      </x:c>
      <x:c r="D6" s="70" t="str">
        <x:v>Poster collection; historic learning repositories.</x:v>
      </x:c>
    </x:row>
    <x:row r="7">
      <x:c r="A7" s="69" t="str">
        <x:v>Ready</x:v>
      </x:c>
      <x:c r="B7" s="28" t="str">
        <x:v>You already have an approved, presentable asset or evidence.</x:v>
      </x:c>
      <x:c r="C7" s="28" t="str">
        <x:v>A clean screenshot, a usable brief, a verified quote, a live link.</x:v>
      </x:c>
      <x:c r="D7" s="70" t="str">
        <x:v>Final approved desktop screenshot.</x:v>
      </x:c>
    </x:row>
    <x:row r="8">
      <x:c r="A8" s="69" t="str">
        <x:v>Partial</x:v>
      </x:c>
      <x:c r="B8" s="28" t="str">
        <x:v>Something exists but needs editing, verification, or a better version.</x:v>
      </x:c>
      <x:c r="C8" s="28" t="str">
        <x:v>A raw Figma file, draft metric, rough notes, an unedited video.</x:v>
      </x:c>
      <x:c r="D8" s="70" t="str">
        <x:v>Raw wireframe file.</x:v>
      </x:c>
    </x:row>
    <x:row r="9">
      <x:c r="A9" s="69" t="str">
        <x:v>Need</x:v>
      </x:c>
      <x:c r="B9" s="28" t="str">
        <x:v>The material is missing, unverified, or not permission-cleared.</x:v>
      </x:c>
      <x:c r="C9" s="28" t="str">
        <x:v>A client outcome, client quote, source file, project role clarification.</x:v>
      </x:c>
      <x:c r="D9" s="70" t="str">
        <x:v>Permission to publish a client logo.</x:v>
      </x:c>
    </x:row>
    <x:row r="10">
      <x:c r="A10" s="69" t="str">
        <x:v>N/A</x:v>
      </x:c>
      <x:c r="B10" s="28" t="str">
        <x:v>The evidence category is genuinely not relevant to that format.</x:v>
      </x:c>
      <x:c r="C10" s="28" t="str">
        <x:v>A live demo is not necessary for a printed brand identity.</x:v>
      </x:c>
      <x:c r="D10" s="70" t="str">
        <x:v>No live-link requirement for a logo system.</x:v>
      </x:c>
    </x:row>
    <x:row r="11">
      <x:c r="A11" s="71" t="str">
        <x:v>Story angle</x:v>
      </x:c>
      <x:c r="B11" s="72" t="str">
        <x:v>The one idea a recruiter should remember from the project.</x:v>
      </x:c>
      <x:c r="C11" s="72" t="str">
        <x:v>It turns a portfolio item into a point of view.</x:v>
      </x:c>
      <x:c r="D11" s="73" t="str">
        <x:v>Turning an NGO website into a clearer action path.</x:v>
      </x:c>
    </x:row>
  </x:sheetData>
  <x:mergeCells>
    <x:mergeCell ref="A1:D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3" hidden="0" customWidth="1"/>
    <x:col min="3" max="3" width="39" hidden="0" customWidth="1"/>
    <x:col min="4" max="4" width="30" hidden="0" customWidth="1"/>
    <x:col min="5" max="5" width="8" hidden="0" customWidth="1"/>
    <x:col min="6" max="6" width="33" hidden="0" customWidth="1"/>
    <x:col min="7" max="7" width="33" hidden="0" customWidth="1"/>
    <x:col min="8" max="8" width="22" hidden="0" customWidth="1"/>
    <x:col min="9" max="9" width="12" hidden="0" customWidth="1"/>
    <x:col min="10" max="10" width="2" hidden="0" customWidth="1"/>
  </x:cols>
  <x:sheetData>
    <x:row r="1" ht="30" customHeight="1">
      <x:c r="A1" s="5" t="str">
        <x:v>Portfolio Content Dashboard — Joseph Masonda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>
      <x:c r="A2" s="13" t="str">
        <x:v>Recommended direction: lead with digital experiences, prove strategic thinking with selected brand and impact work, then let video and writing deepen the story.</x:v>
      </x:c>
      <x:c r="B2" s="13"/>
      <x:c r="C2" s="13"/>
      <x:c r="D2" s="13"/>
      <x:c r="E2" s="13"/>
      <x:c r="F2" s="13"/>
      <x:c r="G2" s="13"/>
      <x:c r="H2" s="13"/>
      <x:c r="I2" s="13"/>
      <x:c r="J2" s="13"/>
    </x:row>
    <x:row r="3">
      <x:c r="A3" s="158"/>
      <x:c r="B3" s="158"/>
      <x:c r="C3" s="158"/>
      <x:c r="D3" s="158"/>
      <x:c r="E3" s="158"/>
      <x:c r="F3" s="158"/>
      <x:c r="G3" s="158"/>
      <x:c r="H3" s="158"/>
      <x:c r="I3" s="158"/>
      <x:c r="J3" s="158"/>
    </x:row>
    <x:row r="4">
      <x:c r="A4" s="22" t="str">
        <x:v>KPI</x:v>
      </x:c>
      <x:c r="B4" s="22" t="str">
        <x:v>Value</x:v>
      </x:c>
      <x:c r="C4" s="22" t="str">
        <x:v>What It Means</x:v>
      </x:c>
      <x:c r="D4" s="22" t="str">
        <x:v>Action</x:v>
      </x:c>
      <x:c r="E4" s="158"/>
      <x:c r="F4" s="158"/>
      <x:c r="G4" s="158"/>
      <x:c r="H4" s="158"/>
      <x:c r="I4" s="158"/>
      <x:c r="J4" s="158"/>
    </x:row>
    <x:row r="5" ht="44" customHeight="1">
      <x:c r="A5" s="32" t="str">
        <x:v>Master portfolio items</x:v>
      </x:c>
      <x:c r="B5" s="192" t="n">
        <x:f>COUNTA('Master Portfolio'!A5:A32)</x:f>
        <x:v>28</x:v>
      </x:c>
      <x:c r="C5" s="33" t="str">
        <x:v>A manageable launch set; not every source item needs to appear on the site.</x:v>
      </x:c>
      <x:c r="D5" s="34" t="str">
        <x:v>Keep 12–16 visible at launch; feature 5–8 deeply.</x:v>
      </x:c>
      <x:c r="E5" s="158"/>
      <x:c r="F5" s="158"/>
      <x:c r="G5" s="158"/>
      <x:c r="H5" s="158"/>
      <x:c r="I5" s="158"/>
      <x:c r="J5" s="158"/>
    </x:row>
    <x:row r="6" ht="44" customHeight="1">
      <x:c r="A6" s="35" t="str">
        <x:v>A-tier showcase candidates</x:v>
      </x:c>
      <x:c r="B6" s="193" t="n">
        <x:f>COUNTIF('Master Portfolio'!AF5:AF32,"A — Featured candidate")</x:f>
        <x:v>9</x:v>
      </x:c>
      <x:c r="C6" s="30" t="str">
        <x:v>Projects with the strongest mix of story, craft, and evidence readiness.</x:v>
      </x:c>
      <x:c r="D6" s="36" t="str">
        <x:v>Prioritise assets and outcomes for these first.</x:v>
      </x:c>
      <x:c r="E6" s="158"/>
      <x:c r="F6" s="158"/>
      <x:c r="G6" s="158"/>
      <x:c r="H6" s="158"/>
      <x:c r="I6" s="158"/>
      <x:c r="J6" s="158"/>
    </x:row>
    <x:row r="7" ht="44" customHeight="1">
      <x:c r="A7" s="35" t="str">
        <x:v>Source records collected</x:v>
      </x:c>
      <x:c r="B7" s="193" t="n">
        <x:f>COUNTA('Source Archive'!A5:A73)</x:f>
        <x:v>69</x:v>
      </x:c>
      <x:c r="C7" s="30" t="str">
        <x:v>Your raw public evidence base across Behance, Contra, GitHub, Vimeo, and Medium.</x:v>
      </x:c>
      <x:c r="D7" s="36" t="str">
        <x:v>Use the source archive to find original files and descriptions.</x:v>
      </x:c>
      <x:c r="E7" s="158"/>
      <x:c r="F7" s="158"/>
      <x:c r="G7" s="158"/>
      <x:c r="H7" s="158"/>
      <x:c r="I7" s="158"/>
      <x:c r="J7" s="158"/>
    </x:row>
    <x:row r="8" ht="44" customHeight="1">
      <x:c r="A8" s="37" t="str">
        <x:v>Evidence gaps: outcomes + permissions</x:v>
      </x:c>
      <x:c r="B8" s="194" t="n">
        <x:f>COUNTIF('Master Portfolio'!T5:T32,"Need")+COUNTIF('Master Portfolio'!V5:V32,"Need")</x:f>
        <x:v>37</x:v>
      </x:c>
      <x:c r="C8" s="38" t="str">
        <x:v>The number is an action list, not a quality score.</x:v>
      </x:c>
      <x:c r="D8" s="39" t="str">
        <x:v>Collect client approval, results, quotes, or clarify N/A.</x:v>
      </x:c>
      <x:c r="E8" s="158"/>
      <x:c r="F8" s="158"/>
      <x:c r="G8" s="158"/>
      <x:c r="H8" s="158"/>
      <x:c r="I8" s="158"/>
      <x:c r="J8" s="158"/>
    </x:row>
    <x:row r="9">
      <x:c r="A9" s="158"/>
      <x:c r="B9" s="158"/>
      <x:c r="C9" s="158"/>
      <x:c r="D9" s="158"/>
      <x:c r="E9" s="158"/>
      <x:c r="F9" s="158"/>
      <x:c r="G9" s="158"/>
      <x:c r="H9" s="158"/>
      <x:c r="I9" s="158"/>
      <x:c r="J9" s="158"/>
    </x:row>
    <x:row r="10">
      <x:c r="A10" s="22" t="str">
        <x:v>Work Type</x:v>
      </x:c>
      <x:c r="B10" s="22" t="str">
        <x:v>Count</x:v>
      </x:c>
      <x:c r="C10" s="158"/>
      <x:c r="D10" s="328"/>
      <x:c r="E10" s="262" t="str">
        <x:v>Recommended launch selection — build these first</x:v>
      </x:c>
      <x:c r="F10" s="205"/>
      <x:c r="G10" s="205"/>
      <x:c r="H10" s="205"/>
      <x:c r="I10" s="205"/>
      <x:c r="J10" s="121"/>
    </x:row>
    <x:row r="11">
      <x:c r="A11" s="168" t="str">
        <x:v>Website</x:v>
      </x:c>
      <x:c r="B11" s="169" t="n">
        <x:f>COUNTIF('Master Portfolio'!C5:C32,A11)</x:f>
        <x:v>7</x:v>
      </x:c>
      <x:c r="C11" s="158"/>
      <x:c r="D11" s="329"/>
      <x:c r="E11" s="213" t="str">
        <x:v>Rank</x:v>
      </x:c>
      <x:c r="F11" s="213" t="str">
        <x:v>Project</x:v>
      </x:c>
      <x:c r="G11" s="213" t="str">
        <x:v>Recruiter signal</x:v>
      </x:c>
      <x:c r="H11" s="213" t="str">
        <x:v>Website placement</x:v>
      </x:c>
      <x:c r="I11" s="213" t="str">
        <x:v>ID</x:v>
      </x:c>
      <x:c r="J11" s="161"/>
    </x:row>
    <x:row r="12" ht="38" customHeight="1">
      <x:c r="A12" s="170" t="str">
        <x:v>Website / Template</x:v>
      </x:c>
      <x:c r="B12" s="171" t="n">
        <x:f>COUNTIF('Master Portfolio'!C5:C32,A12)</x:f>
        <x:v>1</x:v>
      </x:c>
      <x:c r="C12" s="158"/>
      <x:c r="D12" s="330"/>
      <x:c r="E12" s="256" t="n">
        <x:v>1</x:v>
      </x:c>
      <x:c r="F12" s="221" t="str">
        <x:v>AfrONet — African Organic Network</x:v>
      </x:c>
      <x:c r="G12" s="221" t="str">
        <x:v>Digital credibility + content architecture</x:v>
      </x:c>
      <x:c r="H12" s="242" t="str">
        <x:v>Featured case study</x:v>
      </x:c>
      <x:c r="I12" s="242" t="str">
        <x:v>PT-001</x:v>
      </x:c>
      <x:c r="J12" s="164"/>
    </x:row>
    <x:row r="13" ht="38" customHeight="1">
      <x:c r="A13" s="170" t="str">
        <x:v>Template</x:v>
      </x:c>
      <x:c r="B13" s="171" t="n">
        <x:f>COUNTIF('Master Portfolio'!C5:C32,A13)</x:f>
        <x:v>1</x:v>
      </x:c>
      <x:c r="C13" s="158"/>
      <x:c r="D13" s="331"/>
      <x:c r="E13" s="257" t="n">
        <x:v>2</x:v>
      </x:c>
      <x:c r="F13" s="30" t="str">
        <x:v>MARCA LUNA — Editorial Photographer Portfolio</x:v>
      </x:c>
      <x:c r="G13" s="30" t="str">
        <x:v>Interaction craft + CMS + visual direction</x:v>
      </x:c>
      <x:c r="H13" s="243" t="str">
        <x:v>Featured case study</x:v>
      </x:c>
      <x:c r="I13" s="243" t="str">
        <x:v>PT-003</x:v>
      </x:c>
      <x:c r="J13" s="164"/>
    </x:row>
    <x:row r="14" ht="38" customHeight="1">
      <x:c r="A14" s="170" t="str">
        <x:v>UI/UX Website</x:v>
      </x:c>
      <x:c r="B14" s="171" t="n">
        <x:f>COUNTIF('Master Portfolio'!C5:C32,A14)</x:f>
        <x:v>1</x:v>
      </x:c>
      <x:c r="C14" s="158"/>
      <x:c r="D14" s="331"/>
      <x:c r="E14" s="257" t="n">
        <x:v>3</x:v>
      </x:c>
      <x:c r="F14" s="30" t="str">
        <x:v>MedicoCare — Framer Website Development</x:v>
      </x:c>
      <x:c r="G14" s="30" t="str">
        <x:v>Research-to-build website process</x:v>
      </x:c>
      <x:c r="H14" s="243" t="str">
        <x:v>Featured case study</x:v>
      </x:c>
      <x:c r="I14" s="243" t="str">
        <x:v>PT-005</x:v>
      </x:c>
      <x:c r="J14" s="164"/>
    </x:row>
    <x:row r="15" ht="38" customHeight="1">
      <x:c r="A15" s="170" t="str">
        <x:v>Brand Identity</x:v>
      </x:c>
      <x:c r="B15" s="171" t="n">
        <x:f>COUNTIF('Master Portfolio'!C5:C32,A15)</x:f>
        <x:v>3</x:v>
      </x:c>
      <x:c r="C15" s="158"/>
      <x:c r="D15" s="331"/>
      <x:c r="E15" s="257" t="n">
        <x:v>4</x:v>
      </x:c>
      <x:c r="F15" s="30" t="str">
        <x:v>EarthHarvest Alliance — Climate Action UX Concept</x:v>
      </x:c>
      <x:c r="G15" s="30" t="str">
        <x:v>Strategic nonprofit UX and storytelling</x:v>
      </x:c>
      <x:c r="H15" s="243" t="str">
        <x:v>Featured case study</x:v>
      </x:c>
      <x:c r="I15" s="243" t="str">
        <x:v>PT-008</x:v>
      </x:c>
      <x:c r="J15" s="164"/>
    </x:row>
    <x:row r="16" ht="38" customHeight="1">
      <x:c r="A16" s="170" t="str">
        <x:v>Web App</x:v>
      </x:c>
      <x:c r="B16" s="171" t="n">
        <x:f>COUNTIF('Master Portfolio'!C5:C32,A16)</x:f>
        <x:v>3</x:v>
      </x:c>
      <x:c r="C16" s="158"/>
      <x:c r="D16" s="331"/>
      <x:c r="E16" s="257" t="n">
        <x:v>5</x:v>
      </x:c>
      <x:c r="F16" s="30" t="str">
        <x:v>Checkpoint Dashboard</x:v>
      </x:c>
      <x:c r="G16" s="30" t="str">
        <x:v>Product / web-app depth</x:v>
      </x:c>
      <x:c r="H16" s="243" t="str">
        <x:v>Featured case study</x:v>
      </x:c>
      <x:c r="I16" s="243" t="str">
        <x:v>PT-015</x:v>
      </x:c>
      <x:c r="J16" s="164"/>
    </x:row>
    <x:row r="17" ht="38" customHeight="1">
      <x:c r="A17" s="170" t="str">
        <x:v>Learning Platform</x:v>
      </x:c>
      <x:c r="B17" s="171" t="n">
        <x:f>COUNTIF('Master Portfolio'!C5:C32,A17)</x:f>
        <x:v>1</x:v>
      </x:c>
      <x:c r="C17" s="158"/>
      <x:c r="D17" s="331"/>
      <x:c r="E17" s="257" t="n">
        <x:v>6</x:v>
      </x:c>
      <x:c r="F17" s="30" t="str">
        <x:v>Barons Digital — Agency Website</x:v>
      </x:c>
      <x:c r="G17" s="30" t="str">
        <x:v>Agency positioning + portfolio system</x:v>
      </x:c>
      <x:c r="H17" s="243" t="str">
        <x:v>Featured case study</x:v>
      </x:c>
      <x:c r="I17" s="243" t="str">
        <x:v>PT-002</x:v>
      </x:c>
      <x:c r="J17" s="164"/>
    </x:row>
    <x:row r="18" ht="38" customHeight="1">
      <x:c r="A18" s="170" t="str">
        <x:v>Video / Film</x:v>
      </x:c>
      <x:c r="B18" s="171" t="n">
        <x:f>COUNTIF('Master Portfolio'!C5:C32,A18)</x:f>
        <x:v>1</x:v>
      </x:c>
      <x:c r="C18" s="158"/>
      <x:c r="D18" s="332"/>
      <x:c r="E18" s="258" t="n">
        <x:v>7</x:v>
      </x:c>
      <x:c r="F18" s="38" t="str">
        <x:v>Present Day Farms — Brand Identity</x:v>
      </x:c>
      <x:c r="G18" s="38" t="str">
        <x:v>Brand-system range</x:v>
      </x:c>
      <x:c r="H18" s="244" t="str">
        <x:v>Work grid</x:v>
      </x:c>
      <x:c r="I18" s="244" t="str">
        <x:v>PT-009</x:v>
      </x:c>
      <x:c r="J18" s="167"/>
    </x:row>
    <x:row r="19" ht="38" customHeight="1">
      <x:c r="A19" s="170" t="str">
        <x:v>Article / Thought Leadership</x:v>
      </x:c>
      <x:c r="B19" s="171" t="n">
        <x:f>COUNTIF('Master Portfolio'!C5:C32,A19)</x:f>
        <x:v>3</x:v>
      </x:c>
      <x:c r="C19" s="158"/>
      <x:c r="D19" s="333"/>
      <x:c r="E19" s="240" t="n">
        <x:v>8</x:v>
      </x:c>
      <x:c r="F19" s="228" t="str">
        <x:v>Vimeo — Visual Stories</x:v>
      </x:c>
      <x:c r="G19" s="228" t="str">
        <x:v>Motion / storytelling proof</x:v>
      </x:c>
      <x:c r="H19" s="245" t="str">
        <x:v>Video reel</x:v>
      </x:c>
      <x:c r="I19" s="245" t="str">
        <x:v>PT-024</x:v>
      </x:c>
      <x:c r="J19" s="158"/>
    </x:row>
    <x:row r="20">
      <x:c r="A20" s="172" t="str">
        <x:v>Article / Impact Story</x:v>
      </x:c>
      <x:c r="B20" s="173" t="n">
        <x:f>COUNTIF('Master Portfolio'!C5:C32,A20)</x:f>
        <x:v>1</x:v>
      </x:c>
      <x:c r="C20" s="158"/>
      <x:c r="D20" s="158"/>
      <x:c r="E20" s="158"/>
      <x:c r="F20" s="158"/>
      <x:c r="G20" s="158"/>
      <x:c r="H20" s="158"/>
      <x:c r="I20" s="158"/>
      <x:c r="J20" s="158"/>
    </x:row>
    <x:row r="21">
      <x:c r="A21" s="158"/>
      <x:c r="B21" s="158"/>
      <x:c r="C21" s="158"/>
      <x:c r="D21" s="158"/>
      <x:c r="E21" s="158"/>
      <x:c r="F21" s="158"/>
      <x:c r="G21" s="158"/>
      <x:c r="H21" s="158"/>
      <x:c r="I21" s="158"/>
      <x:c r="J21" s="158"/>
    </x:row>
    <x:row r="22">
      <x:c r="A22" s="158"/>
      <x:c r="B22" s="158"/>
      <x:c r="C22" s="158"/>
      <x:c r="D22" s="158"/>
      <x:c r="E22" s="158"/>
      <x:c r="F22" s="158"/>
      <x:c r="G22" s="158"/>
      <x:c r="H22" s="158"/>
      <x:c r="I22" s="158"/>
      <x:c r="J22" s="158"/>
    </x:row>
    <x:row r="23" ht="28" customHeight="1">
      <x:c r="A23" s="174" t="str">
        <x:v>Positioning line (recommended): “I create digital experiences and visual systems that help organisations turn complex work into clear, credible action.”</x:v>
      </x:c>
      <x:c r="B23" s="174"/>
      <x:c r="C23" s="174"/>
      <x:c r="D23" s="174"/>
      <x:c r="E23" s="174"/>
      <x:c r="F23" s="174"/>
      <x:c r="G23" s="174"/>
      <x:c r="H23" s="174"/>
      <x:c r="I23" s="174"/>
      <x:c r="J23" s="174"/>
    </x:row>
    <x:row r="24">
      <x:c r="A24" s="158"/>
      <x:c r="B24" s="158"/>
      <x:c r="C24" s="158"/>
      <x:c r="D24" s="158"/>
      <x:c r="E24" s="158"/>
      <x:c r="F24" s="158"/>
      <x:c r="G24" s="158"/>
      <x:c r="H24" s="158"/>
      <x:c r="I24" s="158"/>
      <x:c r="J24" s="158"/>
    </x:row>
    <x:row r="25" ht="28" customHeight="1">
      <x:c r="A25" s="174" t="str">
        <x:v>Content rule: feature evidence, not volume. A recruiter should understand the brief, your role, key decisions, and proof before seeing a second project.</x:v>
      </x:c>
      <x:c r="B25" s="174"/>
      <x:c r="C25" s="174"/>
      <x:c r="D25" s="174"/>
      <x:c r="E25" s="174"/>
      <x:c r="F25" s="174"/>
      <x:c r="G25" s="174"/>
      <x:c r="H25" s="174"/>
      <x:c r="I25" s="174"/>
      <x:c r="J25" s="174"/>
    </x:row>
  </x:sheetData>
  <x:mergeCells>
    <x:mergeCell ref="A1:J1"/>
    <x:mergeCell ref="A2:J2"/>
    <x:mergeCell ref="A23:J23"/>
    <x:mergeCell ref="A25:J25"/>
  </x:mergeCells>
  <x:pageMargins left="0.7" right="0.7" top="0.75" bottom="0.75" header="0.3" footer="0.3"/>
</x:worksheet>
</file>